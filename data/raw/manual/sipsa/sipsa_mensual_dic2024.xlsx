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ebhernandezg_dane_gov_co/Documents/Variosdic24/Diciembre/"/>
    </mc:Choice>
  </mc:AlternateContent>
  <xr:revisionPtr revIDLastSave="14" documentId="13_ncr:1_{FC91257D-8F2E-45BB-8A8B-6C1920367B1F}" xr6:coauthVersionLast="47" xr6:coauthVersionMax="47" xr10:uidLastSave="{3C12C479-85FF-4695-84E0-FAB8D19D46C3}"/>
  <bookViews>
    <workbookView xWindow="-110" yWindow="-110" windowWidth="19420" windowHeight="10420" tabRatio="815" xr2:uid="{00000000-000D-0000-FFFF-FFFF00000000}"/>
  </bookViews>
  <sheets>
    <sheet name="Índice" sheetId="519" r:id="rId1"/>
    <sheet name="1" sheetId="520" r:id="rId2"/>
    <sheet name="2" sheetId="5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1" l="1"/>
  <c r="B11" i="519" s="1"/>
  <c r="A7" i="520"/>
  <c r="B10" i="519" s="1"/>
  <c r="A82" i="520"/>
  <c r="A54" i="521"/>
</calcChain>
</file>

<file path=xl/sharedStrings.xml><?xml version="1.0" encoding="utf-8"?>
<sst xmlns="http://schemas.openxmlformats.org/spreadsheetml/2006/main" count="277" uniqueCount="92">
  <si>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</si>
  <si>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</si>
  <si>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</si>
  <si>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</si>
  <si>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</si>
  <si>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</si>
  <si>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</si>
  <si>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</si>
  <si>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</si>
  <si>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</si>
  <si>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</si>
  <si>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</si>
  <si>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</si>
  <si>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</si>
  <si>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</si>
  <si>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</si>
  <si>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</si>
  <si>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</si>
  <si>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</si>
  <si>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</si>
  <si>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</si>
  <si>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</si>
  <si>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</si>
  <si>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</si>
  <si>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</si>
  <si>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</si>
  <si>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</si>
  <si>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</si>
  <si>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</si>
  <si>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</si>
  <si>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</si>
  <si>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</si>
  <si>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</si>
  <si>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</si>
  <si>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</si>
  <si>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</si>
  <si>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</si>
  <si>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</si>
  <si>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</si>
  <si>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</si>
  <si>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</si>
  <si>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</si>
  <si>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</si>
  <si>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</si>
  <si>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</si>
  <si>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</si>
  <si>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</si>
  <si>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</si>
  <si>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</si>
  <si>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</si>
  <si>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</si>
  <si>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</si>
  <si>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</si>
  <si>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en lo corrido del año</t>
  </si>
  <si>
    <t>Limón Tahití</t>
  </si>
  <si>
    <t>Papaya*</t>
  </si>
  <si>
    <t>Naranja*</t>
  </si>
  <si>
    <t>Fríjol verde*</t>
  </si>
  <si>
    <t>1.</t>
  </si>
  <si>
    <t>2.</t>
  </si>
  <si>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DANE, SIPSA</t>
    </r>
  </si>
  <si>
    <t>Regresar al índice</t>
  </si>
  <si>
    <t>Diciembre de 2024</t>
  </si>
  <si>
    <t>n.d.</t>
  </si>
  <si>
    <t>-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</si>
  <si>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</si>
  <si>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</si>
  <si>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</si>
  <si>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</si>
  <si>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</si>
  <si>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</si>
  <si>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</si>
  <si>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</si>
  <si>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</si>
  <si>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</si>
  <si>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costeño</t>
  </si>
  <si>
    <t>Carne de cerdo, pernil sin hueso</t>
  </si>
  <si>
    <t>Carne de res, lomo fino</t>
  </si>
  <si>
    <t>Pechuga de pollo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</si>
  <si>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</si>
  <si>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</si>
  <si>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</si>
  <si>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</si>
  <si>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</si>
  <si>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</si>
  <si>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</si>
  <si>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</si>
  <si>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</si>
  <si>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</si>
  <si>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</si>
  <si>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</si>
  <si>
    <t>Fecha de actualización: 10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</si>
</sst>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rgb="FFC00000"/>
      <name val="Segoe UI"/>
      <family val="2"/>
    </font>
    <font>
      <sz val="8"/>
      <name val="Segoe UI"/>
      <family val="2"/>
      <charset val="204"/>
    </font>
    <font>
      <b/>
      <sz val="8"/>
      <name val="Segoe UI"/>
      <family val="2"/>
      <charset val="204"/>
    </font>
    <font>
      <b/>
      <u/>
      <sz val="10"/>
      <color theme="4" tint="-0.249977111117893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9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right" vertical="justify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right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 vertical="justify"/>
    </xf>
    <xf numFmtId="0" fontId="24" fillId="0" borderId="0" xfId="0" applyFont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0" borderId="0" xfId="34" applyNumberFormat="1" applyFont="1" applyFill="1" applyBorder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164" fontId="24" fillId="0" borderId="0" xfId="34" applyFont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right" vertical="center"/>
    </xf>
    <xf numFmtId="2" fontId="24" fillId="0" borderId="2" xfId="34" applyNumberFormat="1" applyFont="1" applyFill="1" applyBorder="1" applyAlignment="1">
      <alignment horizontal="right" vertical="center"/>
    </xf>
    <xf numFmtId="0" fontId="24" fillId="33" borderId="0" xfId="34" applyNumberFormat="1" applyFont="1" applyFill="1" applyBorder="1" applyAlignment="1">
      <alignment horizontal="center" vertical="center"/>
    </xf>
    <xf numFmtId="0" fontId="24" fillId="0" borderId="2" xfId="34" applyNumberFormat="1" applyFont="1" applyFill="1" applyBorder="1" applyAlignment="1">
      <alignment horizontal="center" vertical="center"/>
    </xf>
    <xf numFmtId="4" fontId="24" fillId="33" borderId="0" xfId="0" applyNumberFormat="1" applyFont="1" applyFill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0" borderId="0" xfId="34" applyNumberFormat="1" applyFont="1" applyFill="1" applyBorder="1" applyAlignment="1">
      <alignment horizontal="center" vertical="center"/>
    </xf>
    <xf numFmtId="0" fontId="23" fillId="33" borderId="2" xfId="36" applyFont="1" applyFill="1" applyBorder="1"/>
    <xf numFmtId="3" fontId="24" fillId="33" borderId="2" xfId="34" applyNumberFormat="1" applyFont="1" applyFill="1" applyBorder="1" applyAlignment="1">
      <alignment horizontal="right" vertical="center"/>
    </xf>
    <xf numFmtId="4" fontId="24" fillId="33" borderId="2" xfId="34" applyNumberFormat="1" applyFont="1" applyFill="1" applyBorder="1" applyAlignment="1">
      <alignment horizontal="right" vertical="center"/>
    </xf>
    <xf numFmtId="3" fontId="24" fillId="33" borderId="2" xfId="34" applyNumberFormat="1" applyFont="1" applyFill="1" applyBorder="1" applyAlignment="1">
      <alignment horizontal="right"/>
    </xf>
    <xf numFmtId="4" fontId="24" fillId="33" borderId="2" xfId="34" applyNumberFormat="1" applyFont="1" applyFill="1" applyBorder="1" applyAlignment="1">
      <alignment horizontal="right"/>
    </xf>
    <xf numFmtId="2" fontId="24" fillId="33" borderId="0" xfId="34" applyNumberFormat="1" applyFont="1" applyFill="1" applyBorder="1" applyAlignment="1">
      <alignment horizontal="right" vertical="center"/>
    </xf>
    <xf numFmtId="4" fontId="24" fillId="0" borderId="0" xfId="0" applyNumberFormat="1" applyFont="1" applyAlignment="1">
      <alignment horizontal="center" vertical="center"/>
    </xf>
    <xf numFmtId="0" fontId="28" fillId="31" borderId="3" xfId="0" applyFont="1" applyFill="1" applyBorder="1" applyAlignment="1">
      <alignment vertical="center"/>
    </xf>
    <xf numFmtId="0" fontId="28" fillId="31" borderId="11" xfId="0" applyFont="1" applyFill="1" applyBorder="1" applyAlignment="1">
      <alignment vertical="center"/>
    </xf>
    <xf numFmtId="0" fontId="32" fillId="31" borderId="10" xfId="0" applyFont="1" applyFill="1" applyBorder="1" applyAlignment="1">
      <alignment horizontal="right" vertical="center"/>
    </xf>
    <xf numFmtId="0" fontId="32" fillId="31" borderId="9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vertical="center"/>
    </xf>
    <xf numFmtId="0" fontId="28" fillId="31" borderId="14" xfId="0" applyFont="1" applyFill="1" applyBorder="1" applyAlignment="1">
      <alignment vertical="center"/>
    </xf>
    <xf numFmtId="0" fontId="33" fillId="31" borderId="12" xfId="43" applyFont="1" applyFill="1" applyBorder="1" applyAlignment="1">
      <alignment horizontal="left" vertical="center"/>
    </xf>
    <xf numFmtId="0" fontId="2" fillId="31" borderId="3" xfId="31" quotePrefix="1" applyFill="1" applyBorder="1" applyAlignment="1" applyProtection="1">
      <alignment vertical="center"/>
    </xf>
    <xf numFmtId="0" fontId="2" fillId="31" borderId="1" xfId="31" quotePrefix="1" applyFill="1" applyBorder="1" applyAlignment="1" applyProtection="1">
      <alignment vertical="center"/>
    </xf>
    <xf numFmtId="0" fontId="35" fillId="0" borderId="0" xfId="31" applyFont="1" applyAlignment="1" applyProtection="1"/>
    <xf numFmtId="2" fontId="24" fillId="33" borderId="0" xfId="34" applyNumberFormat="1" applyFont="1" applyFill="1" applyBorder="1" applyAlignment="1">
      <alignment horizontal="center" vertical="center"/>
    </xf>
    <xf numFmtId="2" fontId="24" fillId="33" borderId="0" xfId="33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0" borderId="0" xfId="34" applyNumberFormat="1" applyFont="1" applyFill="1" applyBorder="1" applyAlignment="1">
      <alignment horizontal="center" vertical="center"/>
    </xf>
    <xf numFmtId="4" fontId="31" fillId="0" borderId="0" xfId="33" applyNumberFormat="1" applyFont="1" applyFill="1" applyBorder="1" applyAlignment="1">
      <alignment vertical="center"/>
    </xf>
    <xf numFmtId="4" fontId="31" fillId="0" borderId="0" xfId="33" applyNumberFormat="1" applyFont="1" applyFill="1" applyBorder="1" applyAlignment="1"/>
    <xf numFmtId="4" fontId="31" fillId="33" borderId="0" xfId="33" applyNumberFormat="1" applyFont="1" applyFill="1" applyBorder="1" applyAlignment="1"/>
    <xf numFmtId="4" fontId="31" fillId="33" borderId="0" xfId="33" applyNumberFormat="1" applyFont="1" applyFill="1" applyBorder="1" applyAlignment="1">
      <alignment vertical="center"/>
    </xf>
    <xf numFmtId="4" fontId="31" fillId="33" borderId="0" xfId="33" applyNumberFormat="1" applyFont="1" applyFill="1" applyBorder="1" applyAlignment="1">
      <alignment vertical="justify"/>
    </xf>
    <xf numFmtId="4" fontId="31" fillId="33" borderId="0" xfId="33" applyNumberFormat="1" applyFont="1" applyFill="1" applyBorder="1" applyAlignment="1" applyProtection="1">
      <alignment vertical="center"/>
    </xf>
    <xf numFmtId="4" fontId="31" fillId="0" borderId="0" xfId="33" applyNumberFormat="1" applyFont="1" applyFill="1" applyBorder="1" applyAlignment="1" applyProtection="1">
      <alignment vertical="justify"/>
    </xf>
    <xf numFmtId="4" fontId="31" fillId="0" borderId="2" xfId="33" applyNumberFormat="1" applyFont="1" applyFill="1" applyBorder="1" applyAlignment="1">
      <alignment vertical="center"/>
    </xf>
    <xf numFmtId="4" fontId="31" fillId="0" borderId="2" xfId="33" applyNumberFormat="1" applyFont="1" applyFill="1" applyBorder="1" applyAlignment="1"/>
    <xf numFmtId="4" fontId="31" fillId="0" borderId="2" xfId="33" applyNumberFormat="1" applyFont="1" applyFill="1" applyBorder="1" applyAlignment="1">
      <alignment vertical="justify"/>
    </xf>
    <xf numFmtId="4" fontId="31" fillId="0" borderId="0" xfId="33" applyNumberFormat="1" applyFont="1" applyFill="1" applyBorder="1" applyAlignment="1" applyProtection="1"/>
    <xf numFmtId="4" fontId="31" fillId="0" borderId="0" xfId="33" applyNumberFormat="1" applyFont="1" applyFill="1" applyBorder="1" applyAlignment="1" applyProtection="1">
      <alignment vertical="center"/>
    </xf>
    <xf numFmtId="4" fontId="31" fillId="33" borderId="2" xfId="33" applyNumberFormat="1" applyFont="1" applyFill="1" applyBorder="1" applyAlignment="1"/>
    <xf numFmtId="4" fontId="31" fillId="33" borderId="2" xfId="33" applyNumberFormat="1" applyFont="1" applyFill="1" applyBorder="1" applyAlignment="1">
      <alignment vertical="center"/>
    </xf>
    <xf numFmtId="167" fontId="24" fillId="0" borderId="0" xfId="33" applyNumberFormat="1" applyFont="1" applyFill="1" applyAlignment="1">
      <alignment horizontal="center" vertical="center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2" fontId="24" fillId="0" borderId="2" xfId="0" applyNumberFormat="1" applyFont="1" applyBorder="1" applyAlignment="1">
      <alignment horizontal="right" vertical="center"/>
    </xf>
    <xf numFmtId="2" fontId="24" fillId="0" borderId="2" xfId="0" applyNumberFormat="1" applyFont="1" applyBorder="1" applyAlignment="1">
      <alignment horizontal="center" vertical="center"/>
    </xf>
    <xf numFmtId="4" fontId="24" fillId="0" borderId="2" xfId="0" applyNumberFormat="1" applyFont="1" applyBorder="1" applyAlignment="1">
      <alignment horizontal="center" vertical="center"/>
    </xf>
    <xf numFmtId="3" fontId="24" fillId="0" borderId="2" xfId="0" applyNumberFormat="1" applyFont="1" applyBorder="1" applyAlignment="1">
      <alignment horizontal="right" vertical="center"/>
    </xf>
    <xf numFmtId="4" fontId="24" fillId="0" borderId="2" xfId="0" applyNumberFormat="1" applyFont="1" applyBorder="1" applyAlignment="1">
      <alignment horizontal="right" vertical="center"/>
    </xf>
    <xf numFmtId="0" fontId="24" fillId="0" borderId="2" xfId="0" applyFont="1" applyBorder="1" applyAlignment="1">
      <alignment horizontal="center" vertical="center"/>
    </xf>
    <xf numFmtId="0" fontId="27" fillId="32" borderId="10" xfId="0" applyFont="1" applyFill="1" applyBorder="1" applyAlignment="1">
      <alignment horizontal="center" vertical="center" wrapText="1"/>
    </xf>
    <xf numFmtId="0" fontId="27" fillId="32" borderId="3" xfId="0" applyFont="1" applyFill="1" applyBorder="1" applyAlignment="1">
      <alignment horizontal="center" vertical="center" wrapText="1"/>
    </xf>
    <xf numFmtId="0" fontId="27" fillId="32" borderId="11" xfId="0" applyFont="1" applyFill="1" applyBorder="1" applyAlignment="1">
      <alignment horizontal="center" vertical="center" wrapText="1"/>
    </xf>
    <xf numFmtId="0" fontId="27" fillId="32" borderId="12" xfId="0" applyFont="1" applyFill="1" applyBorder="1" applyAlignment="1">
      <alignment horizontal="center" vertical="center" wrapText="1"/>
    </xf>
    <xf numFmtId="0" fontId="27" fillId="32" borderId="0" xfId="0" applyFont="1" applyFill="1" applyAlignment="1">
      <alignment horizontal="center" vertical="center" wrapText="1"/>
    </xf>
    <xf numFmtId="0" fontId="27" fillId="32" borderId="13" xfId="0" applyFont="1" applyFill="1" applyBorder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10" xfId="0" applyFont="1" applyFill="1" applyBorder="1" applyAlignment="1">
      <alignment horizontal="center" vertical="center" wrapText="1"/>
    </xf>
    <xf numFmtId="0" fontId="26" fillId="34" borderId="3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0" xfId="0" applyFont="1" applyFill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90710</xdr:rowOff>
    </xdr:from>
    <xdr:to>
      <xdr:col>11</xdr:col>
      <xdr:colOff>760286</xdr:colOff>
      <xdr:row>3</xdr:row>
      <xdr:rowOff>181031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11864BE4-E80D-4190-BE20-92482CF9BC37}"/>
            </a:ext>
          </a:extLst>
        </xdr:cNvPr>
        <xdr:cNvGrpSpPr/>
      </xdr:nvGrpSpPr>
      <xdr:grpSpPr>
        <a:xfrm>
          <a:off x="0" y="90710"/>
          <a:ext cx="9169500" cy="933964"/>
          <a:chOff x="89644" y="67235"/>
          <a:chExt cx="9360000" cy="933964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30080E15-C83E-742B-6534-C8A225AF66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89644" y="951089"/>
            <a:ext cx="9360000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2">
            <a:extLst>
              <a:ext uri="{FF2B5EF4-FFF2-40B4-BE49-F238E27FC236}">
                <a16:creationId xmlns:a16="http://schemas.microsoft.com/office/drawing/2014/main" id="{2E5C798F-784F-ADE1-EE3D-4E672C30BEE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1586" y="67235"/>
            <a:ext cx="2177096" cy="8516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89644</xdr:colOff>
      <xdr:row>0</xdr:row>
      <xdr:rowOff>67235</xdr:rowOff>
    </xdr:from>
    <xdr:to>
      <xdr:col>16</xdr:col>
      <xdr:colOff>440115</xdr:colOff>
      <xdr:row>2</xdr:row>
      <xdr:rowOff>396081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4064F86-4912-FBD9-E1DB-BFCFB13A54F8}"/>
            </a:ext>
          </a:extLst>
        </xdr:cNvPr>
        <xdr:cNvGrpSpPr/>
      </xdr:nvGrpSpPr>
      <xdr:grpSpPr>
        <a:xfrm>
          <a:off x="89644" y="67235"/>
          <a:ext cx="9360000" cy="933964"/>
          <a:chOff x="89644" y="67235"/>
          <a:chExt cx="9360000" cy="933964"/>
        </a:xfrm>
      </xdr:grpSpPr>
      <xdr:pic>
        <xdr:nvPicPr>
          <xdr:cNvPr id="10" name="Imagen 12">
            <a:extLst>
              <a:ext uri="{FF2B5EF4-FFF2-40B4-BE49-F238E27FC236}">
                <a16:creationId xmlns:a16="http://schemas.microsoft.com/office/drawing/2014/main" id="{CD11CFED-4138-4BB7-4FEF-1BAE9EDD9DE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89644" y="951089"/>
            <a:ext cx="9360000" cy="501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2">
            <a:extLst>
              <a:ext uri="{FF2B5EF4-FFF2-40B4-BE49-F238E27FC236}">
                <a16:creationId xmlns:a16="http://schemas.microsoft.com/office/drawing/2014/main" id="{D25BCB0D-9E4B-B869-3FEC-DDD2842618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1586" y="67235"/>
            <a:ext cx="2177096" cy="8516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27611</xdr:colOff>
      <xdr:row>0</xdr:row>
      <xdr:rowOff>0</xdr:rowOff>
    </xdr:from>
    <xdr:to>
      <xdr:col>9</xdr:col>
      <xdr:colOff>9567</xdr:colOff>
      <xdr:row>2</xdr:row>
      <xdr:rowOff>189568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A263171-CE0E-12F1-646A-56A69E8D1F46}"/>
            </a:ext>
          </a:extLst>
        </xdr:cNvPr>
        <xdr:cNvGrpSpPr/>
      </xdr:nvGrpSpPr>
      <xdr:grpSpPr>
        <a:xfrm>
          <a:off x="27611" y="0"/>
          <a:ext cx="7736427" cy="839509"/>
          <a:chOff x="27611" y="0"/>
          <a:chExt cx="7734478" cy="835611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A234E613-67D1-4316-8DBA-CBD8EDBDFA4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27611" y="794203"/>
            <a:ext cx="7734478" cy="414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2">
            <a:extLst>
              <a:ext uri="{FF2B5EF4-FFF2-40B4-BE49-F238E27FC236}">
                <a16:creationId xmlns:a16="http://schemas.microsoft.com/office/drawing/2014/main" id="{A9600D0C-D83E-41B4-BE84-EE2CA5D3B2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551" y="0"/>
            <a:ext cx="1806875" cy="7068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8"/>
  <sheetViews>
    <sheetView showGridLines="0" tabSelected="1" zoomScale="70" zoomScaleNormal="70" workbookViewId="0">
      <selection activeCell="A14" sqref="A14"/>
    </sheetView>
  </sheetViews>
  <sheetFormatPr baseColWidth="10" defaultColWidth="11.453125" defaultRowHeight="16" x14ac:dyDescent="0.45"/>
  <cols>
    <col min="1" max="1" width="3.5429687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4" ht="22" customHeight="1" x14ac:dyDescent="0.45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</row>
    <row r="3" spans="1:14" ht="22" customHeight="1" x14ac:dyDescent="0.45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N3" s="4"/>
    </row>
    <row r="4" spans="1:14" ht="22" customHeight="1" x14ac:dyDescent="0.45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</row>
    <row r="5" spans="1:14" ht="36" customHeight="1" x14ac:dyDescent="0.45">
      <c r="A5" s="165" t="s">
        <v>47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7"/>
    </row>
    <row r="6" spans="1:14" ht="31.5" customHeight="1" x14ac:dyDescent="0.45">
      <c r="A6" s="168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70"/>
    </row>
    <row r="7" spans="1:14" x14ac:dyDescent="0.45">
      <c r="A7" s="158" t="s">
        <v>62</v>
      </c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60"/>
    </row>
    <row r="8" spans="1:14" ht="15" customHeight="1" x14ac:dyDescent="0.45">
      <c r="A8" s="161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3"/>
    </row>
    <row r="9" spans="1:14" x14ac:dyDescent="0.45">
      <c r="A9" s="161"/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3"/>
    </row>
    <row r="10" spans="1:14" s="10" customFormat="1" ht="31.5" customHeight="1" x14ac:dyDescent="0.25">
      <c r="A10" s="121" t="s">
        <v>58</v>
      </c>
      <c r="B10" s="126" t="str">
        <f>'1'!A6&amp;" "&amp;'1'!A7</f>
        <v>Comportamiento de los precios mayoristas de los principales alimentos en las principales ocho ciudades. Variación mensual. Diciembre de 2024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20"/>
    </row>
    <row r="11" spans="1:14" s="10" customFormat="1" ht="31.5" customHeight="1" x14ac:dyDescent="0.25">
      <c r="A11" s="122" t="s">
        <v>59</v>
      </c>
      <c r="B11" s="127" t="str">
        <f>'2'!A6&amp;" "&amp;'2'!A7</f>
        <v>Comportamiento de los precios mayoristas de los principales alimentos en las principales ocho ciudades. Variación año corrido. Diciembre de 2024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4"/>
    </row>
    <row r="12" spans="1:14" x14ac:dyDescent="0.4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4" ht="18.75" customHeight="1" x14ac:dyDescent="0.45">
      <c r="A13" s="13" t="s">
        <v>91</v>
      </c>
    </row>
    <row r="14" spans="1:14" s="4" customFormat="1" ht="30" customHeight="1" x14ac:dyDescent="0.45"/>
    <row r="15" spans="1:14" s="4" customFormat="1" ht="32.25" customHeight="1" x14ac:dyDescent="0.45"/>
    <row r="16" spans="1:14" s="4" customFormat="1" ht="34.5" customHeight="1" x14ac:dyDescent="0.45"/>
    <row r="17" spans="1:1" s="4" customFormat="1" x14ac:dyDescent="0.45"/>
    <row r="18" spans="1:1" x14ac:dyDescent="0.45">
      <c r="A18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B11" location="'2'!A1" display="'2'!A1" xr:uid="{549AA18A-F416-4462-A600-6B2E456340C2}"/>
    <hyperlink ref="B10" location="'1'!A1" display="'1'!A1" xr:uid="{D574E648-D3CE-4B18-B9F5-A71884B6F08B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2"/>
  <sheetViews>
    <sheetView showGridLines="0" topLeftCell="A33" zoomScale="85" zoomScaleNormal="85" workbookViewId="0">
      <selection activeCell="A6" sqref="A6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9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9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9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9" s="1" customFormat="1" ht="18.75" customHeight="1" x14ac:dyDescent="0.4">
      <c r="A4" s="173" t="s">
        <v>0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9" s="1" customFormat="1" ht="24" customHeight="1" x14ac:dyDescent="0.4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S5" s="128" t="s">
        <v>61</v>
      </c>
    </row>
    <row r="6" spans="1:19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9" ht="19.5" customHeight="1" x14ac:dyDescent="0.45">
      <c r="A7" s="2" t="str">
        <f>+"Variación mensual. "&amp;Índice!A7</f>
        <v>Variación mensual. Diciembre de 2024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9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9" x14ac:dyDescent="0.45">
      <c r="A9" s="176" t="s">
        <v>1</v>
      </c>
      <c r="B9" s="175" t="s">
        <v>2</v>
      </c>
      <c r="C9" s="175"/>
      <c r="D9" s="175" t="s">
        <v>3</v>
      </c>
      <c r="E9" s="175"/>
      <c r="F9" s="175" t="s">
        <v>4</v>
      </c>
      <c r="G9" s="175"/>
      <c r="H9" s="174" t="s">
        <v>5</v>
      </c>
      <c r="I9" s="174"/>
      <c r="J9" s="175" t="s">
        <v>6</v>
      </c>
      <c r="K9" s="175"/>
      <c r="L9" s="175" t="s">
        <v>7</v>
      </c>
      <c r="M9" s="175"/>
      <c r="N9" s="175" t="s">
        <v>8</v>
      </c>
      <c r="O9" s="175"/>
      <c r="P9" s="175" t="s">
        <v>9</v>
      </c>
      <c r="Q9" s="175"/>
    </row>
    <row r="10" spans="1:19" x14ac:dyDescent="0.45">
      <c r="A10" s="177"/>
      <c r="B10" s="5" t="s">
        <v>10</v>
      </c>
      <c r="C10" s="19" t="s">
        <v>11</v>
      </c>
      <c r="D10" s="5" t="s">
        <v>10</v>
      </c>
      <c r="E10" s="19" t="s">
        <v>11</v>
      </c>
      <c r="F10" s="5" t="s">
        <v>10</v>
      </c>
      <c r="G10" s="19" t="s">
        <v>11</v>
      </c>
      <c r="H10" s="5" t="s">
        <v>10</v>
      </c>
      <c r="I10" s="19" t="s">
        <v>11</v>
      </c>
      <c r="J10" s="5" t="s">
        <v>10</v>
      </c>
      <c r="K10" s="19" t="s">
        <v>11</v>
      </c>
      <c r="L10" s="5" t="s">
        <v>10</v>
      </c>
      <c r="M10" s="19" t="s">
        <v>11</v>
      </c>
      <c r="N10" s="5" t="s">
        <v>10</v>
      </c>
      <c r="O10" s="19" t="s">
        <v>11</v>
      </c>
      <c r="P10" s="5" t="s">
        <v>10</v>
      </c>
      <c r="Q10" s="19" t="s">
        <v>11</v>
      </c>
    </row>
    <row r="11" spans="1:19" s="80" customFormat="1" ht="11.5" customHeight="1" x14ac:dyDescent="0.4">
      <c r="A11" s="91" t="s">
        <v>17</v>
      </c>
      <c r="B11" s="92"/>
      <c r="C11" s="93"/>
      <c r="D11" s="92"/>
      <c r="E11" s="93"/>
      <c r="F11" s="92"/>
      <c r="G11" s="93"/>
      <c r="H11" s="92"/>
      <c r="I11" s="93"/>
      <c r="J11" s="92"/>
      <c r="K11" s="93"/>
      <c r="L11" s="92"/>
      <c r="M11" s="93"/>
      <c r="N11" s="92"/>
      <c r="O11" s="93"/>
      <c r="P11" s="92"/>
      <c r="Q11" s="93"/>
    </row>
    <row r="12" spans="1:19" s="80" customFormat="1" ht="12" customHeight="1" x14ac:dyDescent="0.4">
      <c r="A12" s="20" t="s">
        <v>18</v>
      </c>
      <c r="B12" s="22">
        <v>895</v>
      </c>
      <c r="C12" s="64">
        <v>-11.3</v>
      </c>
      <c r="D12" s="21">
        <v>1707</v>
      </c>
      <c r="E12" s="65">
        <v>0.06</v>
      </c>
      <c r="F12" s="21">
        <v>993</v>
      </c>
      <c r="G12" s="65">
        <v>6.66</v>
      </c>
      <c r="H12" s="21">
        <v>1391</v>
      </c>
      <c r="I12" s="106">
        <v>-14.08</v>
      </c>
      <c r="J12" s="21">
        <v>1241</v>
      </c>
      <c r="K12" s="65">
        <v>11.3</v>
      </c>
      <c r="L12" s="21">
        <v>1427</v>
      </c>
      <c r="M12" s="65">
        <v>2.59</v>
      </c>
      <c r="N12" s="21">
        <v>918</v>
      </c>
      <c r="O12" s="65">
        <v>-0.86</v>
      </c>
      <c r="P12" s="22">
        <v>1452</v>
      </c>
      <c r="Q12" s="66">
        <v>2.1800000000000002</v>
      </c>
    </row>
    <row r="13" spans="1:19" s="80" customFormat="1" ht="12" customHeight="1" x14ac:dyDescent="0.4">
      <c r="A13" s="23" t="s">
        <v>19</v>
      </c>
      <c r="B13" s="24">
        <v>7952</v>
      </c>
      <c r="C13" s="67">
        <v>0.04</v>
      </c>
      <c r="D13" s="24">
        <v>5008</v>
      </c>
      <c r="E13" s="68">
        <v>26.08</v>
      </c>
      <c r="F13" s="24">
        <v>4580</v>
      </c>
      <c r="G13" s="68">
        <v>41.62</v>
      </c>
      <c r="H13" s="89" t="s">
        <v>63</v>
      </c>
      <c r="I13" s="103" t="s">
        <v>64</v>
      </c>
      <c r="J13" s="24">
        <v>3992</v>
      </c>
      <c r="K13" s="67">
        <v>34.090000000000003</v>
      </c>
      <c r="L13" s="24">
        <v>6071</v>
      </c>
      <c r="M13" s="68">
        <v>18.95</v>
      </c>
      <c r="N13" s="24">
        <v>4257</v>
      </c>
      <c r="O13" s="68">
        <v>27.07</v>
      </c>
      <c r="P13" s="25">
        <v>4751</v>
      </c>
      <c r="Q13" s="67">
        <v>15.18</v>
      </c>
    </row>
    <row r="14" spans="1:19" s="80" customFormat="1" ht="12" customHeight="1" x14ac:dyDescent="0.4">
      <c r="A14" s="20" t="s">
        <v>20</v>
      </c>
      <c r="B14" s="110">
        <v>2062</v>
      </c>
      <c r="C14" s="83">
        <v>27.05</v>
      </c>
      <c r="D14" s="21">
        <v>1553</v>
      </c>
      <c r="E14" s="65">
        <v>22.86</v>
      </c>
      <c r="F14" s="21">
        <v>1542</v>
      </c>
      <c r="G14" s="65">
        <v>30.13</v>
      </c>
      <c r="H14" s="21">
        <v>1991</v>
      </c>
      <c r="I14" s="65">
        <v>16.91</v>
      </c>
      <c r="J14" s="110">
        <v>1702</v>
      </c>
      <c r="K14" s="83">
        <v>-9.0299999999999994</v>
      </c>
      <c r="L14" s="21">
        <v>1557</v>
      </c>
      <c r="M14" s="65">
        <v>12.26</v>
      </c>
      <c r="N14" s="21">
        <v>1850</v>
      </c>
      <c r="O14" s="65">
        <v>35.33</v>
      </c>
      <c r="P14" s="21">
        <v>1792</v>
      </c>
      <c r="Q14" s="65">
        <v>18.52</v>
      </c>
    </row>
    <row r="15" spans="1:19" s="80" customFormat="1" ht="12" customHeight="1" x14ac:dyDescent="0.4">
      <c r="A15" s="23" t="s">
        <v>21</v>
      </c>
      <c r="B15" s="24">
        <v>2405</v>
      </c>
      <c r="C15" s="68">
        <v>23.84</v>
      </c>
      <c r="D15" s="24">
        <v>2020</v>
      </c>
      <c r="E15" s="68">
        <v>20.96</v>
      </c>
      <c r="F15" s="24">
        <v>1725</v>
      </c>
      <c r="G15" s="68">
        <v>17.27</v>
      </c>
      <c r="H15" s="25">
        <v>2750</v>
      </c>
      <c r="I15" s="34">
        <v>28.44</v>
      </c>
      <c r="J15" s="24">
        <v>1547</v>
      </c>
      <c r="K15" s="68">
        <v>21.24</v>
      </c>
      <c r="L15" s="24">
        <v>1439</v>
      </c>
      <c r="M15" s="68">
        <v>22.78</v>
      </c>
      <c r="N15" s="24">
        <v>3318</v>
      </c>
      <c r="O15" s="68">
        <v>9.7899999999999991</v>
      </c>
      <c r="P15" s="25">
        <v>1820</v>
      </c>
      <c r="Q15" s="67">
        <v>15.56</v>
      </c>
    </row>
    <row r="16" spans="1:19" s="80" customFormat="1" ht="12" customHeight="1" x14ac:dyDescent="0.4">
      <c r="A16" s="20" t="s">
        <v>22</v>
      </c>
      <c r="B16" s="129" t="s">
        <v>63</v>
      </c>
      <c r="C16" s="106" t="s">
        <v>64</v>
      </c>
      <c r="D16" s="21">
        <v>1596</v>
      </c>
      <c r="E16" s="65">
        <v>2.9</v>
      </c>
      <c r="F16" s="21">
        <v>1165</v>
      </c>
      <c r="G16" s="65">
        <v>0.34</v>
      </c>
      <c r="H16" s="21">
        <v>1068</v>
      </c>
      <c r="I16" s="65">
        <v>-10.18</v>
      </c>
      <c r="J16" s="21">
        <v>1109</v>
      </c>
      <c r="K16" s="65">
        <v>-6.57</v>
      </c>
      <c r="L16" s="21">
        <v>1567</v>
      </c>
      <c r="M16" s="65">
        <v>14.3</v>
      </c>
      <c r="N16" s="21">
        <v>1656</v>
      </c>
      <c r="O16" s="65">
        <v>12.04</v>
      </c>
      <c r="P16" s="129" t="s">
        <v>63</v>
      </c>
      <c r="Q16" s="106" t="s">
        <v>64</v>
      </c>
    </row>
    <row r="17" spans="1:17" s="80" customFormat="1" ht="12" customHeight="1" x14ac:dyDescent="0.4">
      <c r="A17" s="23" t="s">
        <v>57</v>
      </c>
      <c r="B17" s="25">
        <v>7973</v>
      </c>
      <c r="C17" s="104">
        <v>-0.01</v>
      </c>
      <c r="D17" s="24">
        <v>4308</v>
      </c>
      <c r="E17" s="68">
        <v>-1.67</v>
      </c>
      <c r="F17" s="24">
        <v>3955</v>
      </c>
      <c r="G17" s="68">
        <v>7.74</v>
      </c>
      <c r="H17" s="89" t="s">
        <v>63</v>
      </c>
      <c r="I17" s="111" t="s">
        <v>64</v>
      </c>
      <c r="J17" s="24">
        <v>4209</v>
      </c>
      <c r="K17" s="68">
        <v>-5.75</v>
      </c>
      <c r="L17" s="24">
        <v>4985</v>
      </c>
      <c r="M17" s="68">
        <v>1.38</v>
      </c>
      <c r="N17" s="24">
        <v>3347</v>
      </c>
      <c r="O17" s="68">
        <v>-19.97</v>
      </c>
      <c r="P17" s="25">
        <v>4691</v>
      </c>
      <c r="Q17" s="104">
        <v>-5.48</v>
      </c>
    </row>
    <row r="18" spans="1:17" s="80" customFormat="1" ht="12" customHeight="1" x14ac:dyDescent="0.4">
      <c r="A18" s="20" t="s">
        <v>23</v>
      </c>
      <c r="B18" s="21">
        <v>4456</v>
      </c>
      <c r="C18" s="65">
        <v>4.5999999999999996</v>
      </c>
      <c r="D18" s="21">
        <v>2380</v>
      </c>
      <c r="E18" s="65">
        <v>-42.47</v>
      </c>
      <c r="F18" s="21">
        <v>3286</v>
      </c>
      <c r="G18" s="65">
        <v>-3.64</v>
      </c>
      <c r="H18" s="22">
        <v>4722</v>
      </c>
      <c r="I18" s="66">
        <v>11.66</v>
      </c>
      <c r="J18" s="21">
        <v>1828</v>
      </c>
      <c r="K18" s="65">
        <v>-54.13</v>
      </c>
      <c r="L18" s="21">
        <v>4437</v>
      </c>
      <c r="M18" s="65">
        <v>15.25</v>
      </c>
      <c r="N18" s="21">
        <v>2566</v>
      </c>
      <c r="O18" s="65">
        <v>8.41</v>
      </c>
      <c r="P18" s="22">
        <v>2510</v>
      </c>
      <c r="Q18" s="66">
        <v>-34.69</v>
      </c>
    </row>
    <row r="19" spans="1:17" s="80" customFormat="1" ht="12" customHeight="1" x14ac:dyDescent="0.4">
      <c r="A19" s="23" t="s">
        <v>24</v>
      </c>
      <c r="B19" s="26">
        <v>2661</v>
      </c>
      <c r="C19" s="70">
        <v>50</v>
      </c>
      <c r="D19" s="24">
        <v>2256</v>
      </c>
      <c r="E19" s="68">
        <v>86.14</v>
      </c>
      <c r="F19" s="24">
        <v>2303</v>
      </c>
      <c r="G19" s="68">
        <v>13.45</v>
      </c>
      <c r="H19" s="24">
        <v>2340</v>
      </c>
      <c r="I19" s="68">
        <v>38.54</v>
      </c>
      <c r="J19" s="26">
        <v>935</v>
      </c>
      <c r="K19" s="70">
        <v>23.68</v>
      </c>
      <c r="L19" s="24">
        <v>2287</v>
      </c>
      <c r="M19" s="68">
        <v>21.84</v>
      </c>
      <c r="N19" s="24">
        <v>1340</v>
      </c>
      <c r="O19" s="68">
        <v>32.67</v>
      </c>
      <c r="P19" s="24">
        <v>1745</v>
      </c>
      <c r="Q19" s="68">
        <v>3.81</v>
      </c>
    </row>
    <row r="20" spans="1:17" s="80" customFormat="1" ht="12" customHeight="1" x14ac:dyDescent="0.4">
      <c r="A20" s="20" t="s">
        <v>25</v>
      </c>
      <c r="B20" s="21">
        <v>1656</v>
      </c>
      <c r="C20" s="65">
        <v>-34.08</v>
      </c>
      <c r="D20" s="21">
        <v>2709</v>
      </c>
      <c r="E20" s="65">
        <v>-23.71</v>
      </c>
      <c r="F20" s="21">
        <v>1052</v>
      </c>
      <c r="G20" s="65">
        <v>-46.05</v>
      </c>
      <c r="H20" s="22">
        <v>1889</v>
      </c>
      <c r="I20" s="66">
        <v>-29.04</v>
      </c>
      <c r="J20" s="21">
        <v>1025</v>
      </c>
      <c r="K20" s="65">
        <v>-41.33</v>
      </c>
      <c r="L20" s="21">
        <v>1652</v>
      </c>
      <c r="M20" s="65">
        <v>-10.17</v>
      </c>
      <c r="N20" s="21">
        <v>1481</v>
      </c>
      <c r="O20" s="65">
        <v>-29.14</v>
      </c>
      <c r="P20" s="22">
        <v>1894</v>
      </c>
      <c r="Q20" s="66">
        <v>-22.15</v>
      </c>
    </row>
    <row r="21" spans="1:17" s="80" customFormat="1" ht="12" customHeight="1" x14ac:dyDescent="0.4">
      <c r="A21" s="23" t="s">
        <v>26</v>
      </c>
      <c r="B21" s="24">
        <v>3586</v>
      </c>
      <c r="C21" s="68">
        <v>17.920000000000002</v>
      </c>
      <c r="D21" s="24">
        <v>6807</v>
      </c>
      <c r="E21" s="68">
        <v>2.48</v>
      </c>
      <c r="F21" s="24">
        <v>6117</v>
      </c>
      <c r="G21" s="68">
        <v>50.11</v>
      </c>
      <c r="H21" s="24">
        <v>5762</v>
      </c>
      <c r="I21" s="68">
        <v>0.65</v>
      </c>
      <c r="J21" s="24">
        <v>3862</v>
      </c>
      <c r="K21" s="68">
        <v>-17.05</v>
      </c>
      <c r="L21" s="24">
        <v>6372</v>
      </c>
      <c r="M21" s="68">
        <v>47.26</v>
      </c>
      <c r="N21" s="24">
        <v>3588</v>
      </c>
      <c r="O21" s="68">
        <v>4.67</v>
      </c>
      <c r="P21" s="24">
        <v>5563</v>
      </c>
      <c r="Q21" s="68">
        <v>-1.54</v>
      </c>
    </row>
    <row r="22" spans="1:17" s="80" customFormat="1" ht="12" customHeight="1" x14ac:dyDescent="0.4">
      <c r="A22" s="20" t="s">
        <v>27</v>
      </c>
      <c r="B22" s="21">
        <v>1387</v>
      </c>
      <c r="C22" s="65">
        <v>-4.54</v>
      </c>
      <c r="D22" s="21">
        <v>890</v>
      </c>
      <c r="E22" s="65">
        <v>5.08</v>
      </c>
      <c r="F22" s="21">
        <v>1237</v>
      </c>
      <c r="G22" s="65">
        <v>6.45</v>
      </c>
      <c r="H22" s="22">
        <v>1439</v>
      </c>
      <c r="I22" s="66">
        <v>-11.5</v>
      </c>
      <c r="J22" s="21">
        <v>1050</v>
      </c>
      <c r="K22" s="65">
        <v>-14.84</v>
      </c>
      <c r="L22" s="21">
        <v>1416</v>
      </c>
      <c r="M22" s="65">
        <v>-12.59</v>
      </c>
      <c r="N22" s="21">
        <v>1215</v>
      </c>
      <c r="O22" s="65">
        <v>-18.62</v>
      </c>
      <c r="P22" s="22">
        <v>1453</v>
      </c>
      <c r="Q22" s="66">
        <v>-12.1</v>
      </c>
    </row>
    <row r="23" spans="1:17" s="80" customFormat="1" ht="12" customHeight="1" x14ac:dyDescent="0.4">
      <c r="A23" s="23" t="s">
        <v>28</v>
      </c>
      <c r="B23" s="24">
        <v>3564</v>
      </c>
      <c r="C23" s="68">
        <v>18.09</v>
      </c>
      <c r="D23" s="24">
        <v>3070</v>
      </c>
      <c r="E23" s="68">
        <v>15.41</v>
      </c>
      <c r="F23" s="24">
        <v>3191</v>
      </c>
      <c r="G23" s="68">
        <v>33.85</v>
      </c>
      <c r="H23" s="89" t="s">
        <v>63</v>
      </c>
      <c r="I23" s="103" t="s">
        <v>64</v>
      </c>
      <c r="J23" s="24">
        <v>2751</v>
      </c>
      <c r="K23" s="68">
        <v>12.47</v>
      </c>
      <c r="L23" s="24">
        <v>3538</v>
      </c>
      <c r="M23" s="68">
        <v>13.18</v>
      </c>
      <c r="N23" s="24">
        <v>3163</v>
      </c>
      <c r="O23" s="68">
        <v>26.32</v>
      </c>
      <c r="P23" s="25">
        <v>3576</v>
      </c>
      <c r="Q23" s="67">
        <v>26.94</v>
      </c>
    </row>
    <row r="24" spans="1:17" s="100" customFormat="1" ht="11.5" x14ac:dyDescent="0.3">
      <c r="A24" s="112" t="s">
        <v>29</v>
      </c>
      <c r="B24" s="113">
        <v>2461</v>
      </c>
      <c r="C24" s="114">
        <v>28.98</v>
      </c>
      <c r="D24" s="115">
        <v>2821</v>
      </c>
      <c r="E24" s="116">
        <v>17.350000000000001</v>
      </c>
      <c r="F24" s="115">
        <v>2068</v>
      </c>
      <c r="G24" s="116">
        <v>20.72</v>
      </c>
      <c r="H24" s="115">
        <v>2597</v>
      </c>
      <c r="I24" s="116">
        <v>7.58</v>
      </c>
      <c r="J24" s="115">
        <v>2808</v>
      </c>
      <c r="K24" s="116">
        <v>4</v>
      </c>
      <c r="L24" s="115">
        <v>1916</v>
      </c>
      <c r="M24" s="116">
        <v>1.86</v>
      </c>
      <c r="N24" s="115">
        <v>1573</v>
      </c>
      <c r="O24" s="116">
        <v>-3.79</v>
      </c>
      <c r="P24" s="115">
        <v>2778</v>
      </c>
      <c r="Q24" s="116">
        <v>10.33</v>
      </c>
    </row>
    <row r="25" spans="1:17" s="80" customFormat="1" ht="11.5" customHeight="1" x14ac:dyDescent="0.4">
      <c r="A25" s="91" t="s">
        <v>30</v>
      </c>
      <c r="B25" s="92"/>
      <c r="C25" s="93"/>
      <c r="D25" s="92"/>
      <c r="E25" s="93"/>
      <c r="F25" s="92"/>
      <c r="G25" s="93"/>
      <c r="H25" s="92"/>
      <c r="I25" s="93"/>
      <c r="J25" s="92"/>
      <c r="K25" s="93"/>
      <c r="L25" s="92"/>
      <c r="M25" s="93"/>
      <c r="N25" s="92"/>
      <c r="O25" s="93"/>
      <c r="P25" s="92"/>
      <c r="Q25" s="93"/>
    </row>
    <row r="26" spans="1:17" s="80" customFormat="1" ht="12" customHeight="1" x14ac:dyDescent="0.4">
      <c r="A26" s="23" t="s">
        <v>48</v>
      </c>
      <c r="B26" s="133" t="s">
        <v>63</v>
      </c>
      <c r="C26" s="103" t="s">
        <v>64</v>
      </c>
      <c r="D26" s="24">
        <v>10136</v>
      </c>
      <c r="E26" s="68">
        <v>-4.62</v>
      </c>
      <c r="F26" s="24">
        <v>9702</v>
      </c>
      <c r="G26" s="34">
        <v>-7.6</v>
      </c>
      <c r="H26" s="25">
        <v>10635</v>
      </c>
      <c r="I26" s="104">
        <v>-4.76</v>
      </c>
      <c r="J26" s="26">
        <v>8443</v>
      </c>
      <c r="K26" s="67">
        <v>-15.17</v>
      </c>
      <c r="L26" s="26">
        <v>11889</v>
      </c>
      <c r="M26" s="34">
        <v>4.3899999999999997</v>
      </c>
      <c r="N26" s="24">
        <v>7767</v>
      </c>
      <c r="O26" s="68">
        <v>-18.98</v>
      </c>
      <c r="P26" s="25">
        <v>8194</v>
      </c>
      <c r="Q26" s="67">
        <v>-25.93</v>
      </c>
    </row>
    <row r="27" spans="1:17" s="80" customFormat="1" ht="12" customHeight="1" x14ac:dyDescent="0.4">
      <c r="A27" s="20" t="s">
        <v>31</v>
      </c>
      <c r="B27" s="21">
        <v>1570</v>
      </c>
      <c r="C27" s="65">
        <v>15.44</v>
      </c>
      <c r="D27" s="21">
        <v>3050</v>
      </c>
      <c r="E27" s="65">
        <v>-1.29</v>
      </c>
      <c r="F27" s="21">
        <v>2953</v>
      </c>
      <c r="G27" s="65">
        <v>-12.43</v>
      </c>
      <c r="H27" s="129" t="s">
        <v>63</v>
      </c>
      <c r="I27" s="106" t="s">
        <v>64</v>
      </c>
      <c r="J27" s="21">
        <v>2523</v>
      </c>
      <c r="K27" s="65">
        <v>6.73</v>
      </c>
      <c r="L27" s="21">
        <v>3437</v>
      </c>
      <c r="M27" s="65">
        <v>3.06</v>
      </c>
      <c r="N27" s="21">
        <v>2708</v>
      </c>
      <c r="O27" s="65">
        <v>4.5599999999999996</v>
      </c>
      <c r="P27" s="22">
        <v>2152</v>
      </c>
      <c r="Q27" s="66">
        <v>1.18</v>
      </c>
    </row>
    <row r="28" spans="1:17" s="80" customFormat="1" ht="12" customHeight="1" x14ac:dyDescent="0.4">
      <c r="A28" s="23" t="s">
        <v>32</v>
      </c>
      <c r="B28" s="24">
        <v>8303</v>
      </c>
      <c r="C28" s="68">
        <v>16.11</v>
      </c>
      <c r="D28" s="24">
        <v>8061</v>
      </c>
      <c r="E28" s="68">
        <v>1.6</v>
      </c>
      <c r="F28" s="89" t="s">
        <v>63</v>
      </c>
      <c r="G28" s="103" t="s">
        <v>64</v>
      </c>
      <c r="H28" s="24">
        <v>7895</v>
      </c>
      <c r="I28" s="68">
        <v>-2.76</v>
      </c>
      <c r="J28" s="24">
        <v>5431</v>
      </c>
      <c r="K28" s="68">
        <v>27.61</v>
      </c>
      <c r="L28" s="89" t="s">
        <v>63</v>
      </c>
      <c r="M28" s="103" t="s">
        <v>64</v>
      </c>
      <c r="N28" s="25">
        <v>12615</v>
      </c>
      <c r="O28" s="68">
        <v>-5.63</v>
      </c>
      <c r="P28" s="24">
        <v>7631</v>
      </c>
      <c r="Q28" s="68">
        <v>10.24</v>
      </c>
    </row>
    <row r="29" spans="1:17" s="80" customFormat="1" ht="12" customHeight="1" x14ac:dyDescent="0.4">
      <c r="A29" s="20" t="s">
        <v>33</v>
      </c>
      <c r="B29" s="129" t="s">
        <v>63</v>
      </c>
      <c r="C29" s="106" t="s">
        <v>64</v>
      </c>
      <c r="D29" s="21">
        <v>7838</v>
      </c>
      <c r="E29" s="65">
        <v>26.71</v>
      </c>
      <c r="F29" s="21">
        <v>8596</v>
      </c>
      <c r="G29" s="65">
        <v>16.64</v>
      </c>
      <c r="H29" s="129" t="s">
        <v>63</v>
      </c>
      <c r="I29" s="106" t="s">
        <v>64</v>
      </c>
      <c r="J29" s="22">
        <v>6828</v>
      </c>
      <c r="K29" s="64">
        <v>24.15</v>
      </c>
      <c r="L29" s="22">
        <v>8501</v>
      </c>
      <c r="M29" s="66">
        <v>-0.79</v>
      </c>
      <c r="N29" s="21">
        <v>7167</v>
      </c>
      <c r="O29" s="65">
        <v>17.2</v>
      </c>
      <c r="P29" s="22">
        <v>8167</v>
      </c>
      <c r="Q29" s="66">
        <v>34.86</v>
      </c>
    </row>
    <row r="30" spans="1:17" s="80" customFormat="1" ht="12" customHeight="1" x14ac:dyDescent="0.4">
      <c r="A30" s="23" t="s">
        <v>34</v>
      </c>
      <c r="B30" s="24">
        <v>4303</v>
      </c>
      <c r="C30" s="68">
        <v>14.23</v>
      </c>
      <c r="D30" s="24">
        <v>2407</v>
      </c>
      <c r="E30" s="68">
        <v>-22.73</v>
      </c>
      <c r="F30" s="24">
        <v>2749</v>
      </c>
      <c r="G30" s="68">
        <v>20.52</v>
      </c>
      <c r="H30" s="24">
        <v>3731</v>
      </c>
      <c r="I30" s="68">
        <v>10.55</v>
      </c>
      <c r="J30" s="24">
        <v>2663</v>
      </c>
      <c r="K30" s="68">
        <v>-2.77</v>
      </c>
      <c r="L30" s="24">
        <v>3407</v>
      </c>
      <c r="M30" s="68">
        <v>16.48</v>
      </c>
      <c r="N30" s="24">
        <v>3010</v>
      </c>
      <c r="O30" s="68">
        <v>4.37</v>
      </c>
      <c r="P30" s="24">
        <v>2631</v>
      </c>
      <c r="Q30" s="68">
        <v>9.0299999999999994</v>
      </c>
    </row>
    <row r="31" spans="1:17" s="80" customFormat="1" ht="12" customHeight="1" x14ac:dyDescent="0.4">
      <c r="A31" s="20" t="s">
        <v>54</v>
      </c>
      <c r="B31" s="21">
        <v>2167</v>
      </c>
      <c r="C31" s="65">
        <v>-32.409999999999997</v>
      </c>
      <c r="D31" s="21">
        <v>2331</v>
      </c>
      <c r="E31" s="65">
        <v>-30.33</v>
      </c>
      <c r="F31" s="21">
        <v>1628</v>
      </c>
      <c r="G31" s="65">
        <v>-29.43</v>
      </c>
      <c r="H31" s="22">
        <v>2727</v>
      </c>
      <c r="I31" s="66">
        <v>-31.64</v>
      </c>
      <c r="J31" s="21">
        <v>1485</v>
      </c>
      <c r="K31" s="66">
        <v>-43.41</v>
      </c>
      <c r="L31" s="21">
        <v>2671</v>
      </c>
      <c r="M31" s="65">
        <v>-28.98</v>
      </c>
      <c r="N31" s="21">
        <v>1616</v>
      </c>
      <c r="O31" s="65">
        <v>-47.85</v>
      </c>
      <c r="P31" s="22">
        <v>1496</v>
      </c>
      <c r="Q31" s="66">
        <v>-46.65</v>
      </c>
    </row>
    <row r="32" spans="1:17" s="80" customFormat="1" ht="12" customHeight="1" x14ac:dyDescent="0.4">
      <c r="A32" s="23" t="s">
        <v>35</v>
      </c>
      <c r="B32" s="25">
        <v>5425</v>
      </c>
      <c r="C32" s="67">
        <v>3.57</v>
      </c>
      <c r="D32" s="24">
        <v>4634</v>
      </c>
      <c r="E32" s="68">
        <v>4.91</v>
      </c>
      <c r="F32" s="24">
        <v>4573</v>
      </c>
      <c r="G32" s="68">
        <v>4.3600000000000003</v>
      </c>
      <c r="H32" s="25">
        <v>5978</v>
      </c>
      <c r="I32" s="67">
        <v>3.91</v>
      </c>
      <c r="J32" s="25">
        <v>4121</v>
      </c>
      <c r="K32" s="67">
        <v>-7.77</v>
      </c>
      <c r="L32" s="24">
        <v>5646</v>
      </c>
      <c r="M32" s="68">
        <v>7.3</v>
      </c>
      <c r="N32" s="24">
        <v>4088</v>
      </c>
      <c r="O32" s="68">
        <v>4.21</v>
      </c>
      <c r="P32" s="25">
        <v>4761</v>
      </c>
      <c r="Q32" s="67">
        <v>2.52</v>
      </c>
    </row>
    <row r="33" spans="1:17" s="80" customFormat="1" ht="12" customHeight="1" x14ac:dyDescent="0.4">
      <c r="A33" s="20" t="s">
        <v>36</v>
      </c>
      <c r="B33" s="21">
        <v>2671</v>
      </c>
      <c r="C33" s="65">
        <v>-3.57</v>
      </c>
      <c r="D33" s="21">
        <v>3067</v>
      </c>
      <c r="E33" s="65">
        <v>23.27</v>
      </c>
      <c r="F33" s="21">
        <v>2318</v>
      </c>
      <c r="G33" s="64">
        <v>11.02</v>
      </c>
      <c r="H33" s="22">
        <v>2754</v>
      </c>
      <c r="I33" s="117">
        <v>-9.1999999999999993</v>
      </c>
      <c r="J33" s="21">
        <v>3478</v>
      </c>
      <c r="K33" s="65">
        <v>-16.59</v>
      </c>
      <c r="L33" s="21">
        <v>2840</v>
      </c>
      <c r="M33" s="65">
        <v>-3.2</v>
      </c>
      <c r="N33" s="21">
        <v>2046</v>
      </c>
      <c r="O33" s="65">
        <v>-47.67</v>
      </c>
      <c r="P33" s="22">
        <v>2730</v>
      </c>
      <c r="Q33" s="64">
        <v>-16.329999999999998</v>
      </c>
    </row>
    <row r="34" spans="1:17" s="80" customFormat="1" ht="12" customHeight="1" x14ac:dyDescent="0.4">
      <c r="A34" s="23" t="s">
        <v>37</v>
      </c>
      <c r="B34" s="24">
        <v>2848</v>
      </c>
      <c r="C34" s="68">
        <v>-48.43</v>
      </c>
      <c r="D34" s="24">
        <v>1510</v>
      </c>
      <c r="E34" s="33">
        <v>-57.6</v>
      </c>
      <c r="F34" s="24">
        <v>1566</v>
      </c>
      <c r="G34" s="67">
        <v>-50.6</v>
      </c>
      <c r="H34" s="89">
        <v>2278</v>
      </c>
      <c r="I34" s="89">
        <v>-30.55</v>
      </c>
      <c r="J34" s="24">
        <v>1845</v>
      </c>
      <c r="K34" s="68">
        <v>-21.49</v>
      </c>
      <c r="L34" s="24">
        <v>2692</v>
      </c>
      <c r="M34" s="68">
        <v>-40.11</v>
      </c>
      <c r="N34" s="24">
        <v>1153</v>
      </c>
      <c r="O34" s="67">
        <v>-56.78</v>
      </c>
      <c r="P34" s="25">
        <v>2117</v>
      </c>
      <c r="Q34" s="68">
        <v>-33.15</v>
      </c>
    </row>
    <row r="35" spans="1:17" s="80" customFormat="1" ht="12" customHeight="1" x14ac:dyDescent="0.4">
      <c r="A35" s="20" t="s">
        <v>51</v>
      </c>
      <c r="B35" s="130" t="s">
        <v>63</v>
      </c>
      <c r="C35" s="106" t="s">
        <v>64</v>
      </c>
      <c r="D35" s="21">
        <v>9673</v>
      </c>
      <c r="E35" s="65">
        <v>-5.54</v>
      </c>
      <c r="F35" s="21">
        <v>8767</v>
      </c>
      <c r="G35" s="65">
        <v>3.58</v>
      </c>
      <c r="H35" s="22">
        <v>9068</v>
      </c>
      <c r="I35" s="64">
        <v>0.4</v>
      </c>
      <c r="J35" s="22">
        <v>8769</v>
      </c>
      <c r="K35" s="66">
        <v>0.63</v>
      </c>
      <c r="L35" s="21">
        <v>9208</v>
      </c>
      <c r="M35" s="65">
        <v>0.89</v>
      </c>
      <c r="N35" s="21">
        <v>8787</v>
      </c>
      <c r="O35" s="65">
        <v>-1.1599999999999999</v>
      </c>
      <c r="P35" s="22">
        <v>8836</v>
      </c>
      <c r="Q35" s="66">
        <v>1.61</v>
      </c>
    </row>
    <row r="36" spans="1:17" s="80" customFormat="1" ht="12" customHeight="1" x14ac:dyDescent="0.4">
      <c r="A36" s="23" t="s">
        <v>38</v>
      </c>
      <c r="B36" s="89" t="s">
        <v>63</v>
      </c>
      <c r="C36" s="103" t="s">
        <v>64</v>
      </c>
      <c r="D36" s="24">
        <v>3278</v>
      </c>
      <c r="E36" s="68">
        <v>-30.02</v>
      </c>
      <c r="F36" s="24">
        <v>3397</v>
      </c>
      <c r="G36" s="68">
        <v>-13.72</v>
      </c>
      <c r="H36" s="89" t="s">
        <v>63</v>
      </c>
      <c r="I36" s="103" t="s">
        <v>64</v>
      </c>
      <c r="J36" s="24">
        <v>3441</v>
      </c>
      <c r="K36" s="68">
        <v>-14.51</v>
      </c>
      <c r="L36" s="24">
        <v>4790</v>
      </c>
      <c r="M36" s="68">
        <v>6.56</v>
      </c>
      <c r="N36" s="24">
        <v>2594</v>
      </c>
      <c r="O36" s="68">
        <v>-9.6199999999999992</v>
      </c>
      <c r="P36" s="25">
        <v>3887</v>
      </c>
      <c r="Q36" s="68">
        <v>2.1800000000000002</v>
      </c>
    </row>
    <row r="37" spans="1:17" s="80" customFormat="1" ht="12" customHeight="1" x14ac:dyDescent="0.4">
      <c r="A37" s="20" t="s">
        <v>39</v>
      </c>
      <c r="B37" s="21">
        <v>5320</v>
      </c>
      <c r="C37" s="65">
        <v>3.85</v>
      </c>
      <c r="D37" s="21">
        <v>5705</v>
      </c>
      <c r="E37" s="65">
        <v>32.24</v>
      </c>
      <c r="F37" s="21">
        <v>3284</v>
      </c>
      <c r="G37" s="65">
        <v>0.46</v>
      </c>
      <c r="H37" s="22">
        <v>4317</v>
      </c>
      <c r="I37" s="66">
        <v>6.41</v>
      </c>
      <c r="J37" s="21">
        <v>5433</v>
      </c>
      <c r="K37" s="65">
        <v>28.65</v>
      </c>
      <c r="L37" s="21">
        <v>2935</v>
      </c>
      <c r="M37" s="65">
        <v>-3.2</v>
      </c>
      <c r="N37" s="21">
        <v>3448</v>
      </c>
      <c r="O37" s="65">
        <v>26.67</v>
      </c>
      <c r="P37" s="22">
        <v>5083</v>
      </c>
      <c r="Q37" s="66">
        <v>11.71</v>
      </c>
    </row>
    <row r="38" spans="1:17" s="80" customFormat="1" ht="12" customHeight="1" x14ac:dyDescent="0.4">
      <c r="A38" s="23" t="s">
        <v>56</v>
      </c>
      <c r="B38" s="25">
        <v>1653</v>
      </c>
      <c r="C38" s="104">
        <v>-4.4000000000000004</v>
      </c>
      <c r="D38" s="24">
        <v>1993</v>
      </c>
      <c r="E38" s="68">
        <v>-0.2</v>
      </c>
      <c r="F38" s="24">
        <v>1193</v>
      </c>
      <c r="G38" s="67">
        <v>5.86</v>
      </c>
      <c r="H38" s="133">
        <v>1700</v>
      </c>
      <c r="I38" s="111" t="s">
        <v>64</v>
      </c>
      <c r="J38" s="25">
        <v>1477</v>
      </c>
      <c r="K38" s="104">
        <v>-9.39</v>
      </c>
      <c r="L38" s="25">
        <v>1375</v>
      </c>
      <c r="M38" s="104">
        <v>8.8699999999999992</v>
      </c>
      <c r="N38" s="24">
        <v>2233</v>
      </c>
      <c r="O38" s="67">
        <v>-10.57</v>
      </c>
      <c r="P38" s="24">
        <v>1847</v>
      </c>
      <c r="Q38" s="70">
        <v>-0.59</v>
      </c>
    </row>
    <row r="39" spans="1:17" s="80" customFormat="1" ht="12" customHeight="1" x14ac:dyDescent="0.4">
      <c r="A39" s="20" t="s">
        <v>55</v>
      </c>
      <c r="B39" s="22">
        <v>2094</v>
      </c>
      <c r="C39" s="64">
        <v>31.12</v>
      </c>
      <c r="D39" s="22">
        <v>1971</v>
      </c>
      <c r="E39" s="66">
        <v>24.12</v>
      </c>
      <c r="F39" s="21" t="s">
        <v>63</v>
      </c>
      <c r="G39" s="65" t="s">
        <v>64</v>
      </c>
      <c r="H39" s="22">
        <v>2740</v>
      </c>
      <c r="I39" s="66">
        <v>57.29</v>
      </c>
      <c r="J39" s="22">
        <v>1991</v>
      </c>
      <c r="K39" s="65">
        <v>11.23</v>
      </c>
      <c r="L39" s="22">
        <v>2257</v>
      </c>
      <c r="M39" s="66">
        <v>8.3000000000000007</v>
      </c>
      <c r="N39" s="21">
        <v>3109</v>
      </c>
      <c r="O39" s="65">
        <v>12.77</v>
      </c>
      <c r="P39" s="22">
        <v>2072</v>
      </c>
      <c r="Q39" s="66">
        <v>5.12</v>
      </c>
    </row>
    <row r="40" spans="1:17" s="80" customFormat="1" ht="12" customHeight="1" x14ac:dyDescent="0.4">
      <c r="A40" s="23" t="s">
        <v>40</v>
      </c>
      <c r="B40" s="25">
        <v>3083</v>
      </c>
      <c r="C40" s="67">
        <v>10.42</v>
      </c>
      <c r="D40" s="25">
        <v>2575</v>
      </c>
      <c r="E40" s="67">
        <v>-12.53</v>
      </c>
      <c r="F40" s="24">
        <v>2335</v>
      </c>
      <c r="G40" s="68">
        <v>-22.94</v>
      </c>
      <c r="H40" s="25">
        <v>3386</v>
      </c>
      <c r="I40" s="67">
        <v>-7.18</v>
      </c>
      <c r="J40" s="25">
        <v>2509</v>
      </c>
      <c r="K40" s="68">
        <v>-13.21</v>
      </c>
      <c r="L40" s="89" t="s">
        <v>63</v>
      </c>
      <c r="M40" s="111" t="s">
        <v>64</v>
      </c>
      <c r="N40" s="24">
        <v>2547</v>
      </c>
      <c r="O40" s="68">
        <v>-16.3</v>
      </c>
      <c r="P40" s="25">
        <v>3226</v>
      </c>
      <c r="Q40" s="67">
        <v>-8.27</v>
      </c>
    </row>
    <row r="41" spans="1:17" s="80" customFormat="1" ht="12" customHeight="1" x14ac:dyDescent="0.4">
      <c r="A41" s="20" t="s">
        <v>41</v>
      </c>
      <c r="B41" s="21">
        <v>2806</v>
      </c>
      <c r="C41" s="65">
        <v>6.77</v>
      </c>
      <c r="D41" s="21">
        <v>2784</v>
      </c>
      <c r="E41" s="65">
        <v>-3.03</v>
      </c>
      <c r="F41" s="21">
        <v>2634</v>
      </c>
      <c r="G41" s="65">
        <v>-2.2599999999999998</v>
      </c>
      <c r="H41" s="22">
        <v>2772</v>
      </c>
      <c r="I41" s="83">
        <v>-2.2599999999999998</v>
      </c>
      <c r="J41" s="21">
        <v>2239</v>
      </c>
      <c r="K41" s="65">
        <v>-5.37</v>
      </c>
      <c r="L41" s="21">
        <v>3577</v>
      </c>
      <c r="M41" s="65">
        <v>-0.64</v>
      </c>
      <c r="N41" s="21">
        <v>1932</v>
      </c>
      <c r="O41" s="65">
        <v>-12.86</v>
      </c>
      <c r="P41" s="22">
        <v>2700</v>
      </c>
      <c r="Q41" s="83">
        <v>-4.29</v>
      </c>
    </row>
    <row r="42" spans="1:17" s="80" customFormat="1" ht="12" customHeight="1" x14ac:dyDescent="0.4">
      <c r="A42" s="27" t="s">
        <v>65</v>
      </c>
      <c r="B42" s="131" t="s">
        <v>63</v>
      </c>
      <c r="C42" s="107" t="s">
        <v>64</v>
      </c>
      <c r="D42" s="28">
        <v>11996</v>
      </c>
      <c r="E42" s="69">
        <v>42.52</v>
      </c>
      <c r="F42" s="28">
        <v>12514</v>
      </c>
      <c r="G42" s="69">
        <v>39.51</v>
      </c>
      <c r="H42" s="76">
        <v>13352</v>
      </c>
      <c r="I42" s="85">
        <v>39.08</v>
      </c>
      <c r="J42" s="28">
        <v>11792</v>
      </c>
      <c r="K42" s="69">
        <v>37.92</v>
      </c>
      <c r="L42" s="131" t="s">
        <v>63</v>
      </c>
      <c r="M42" s="107" t="s">
        <v>64</v>
      </c>
      <c r="N42" s="28">
        <v>12521</v>
      </c>
      <c r="O42" s="69">
        <v>46.75</v>
      </c>
      <c r="P42" s="76">
        <v>11524</v>
      </c>
      <c r="Q42" s="85">
        <v>43.62</v>
      </c>
    </row>
    <row r="43" spans="1:17" s="80" customFormat="1" ht="11.5" customHeight="1" x14ac:dyDescent="0.4">
      <c r="A43" s="91" t="s">
        <v>42</v>
      </c>
      <c r="B43" s="92"/>
      <c r="C43" s="93"/>
      <c r="D43" s="92"/>
      <c r="E43" s="93"/>
      <c r="F43" s="92"/>
      <c r="G43" s="93"/>
      <c r="H43" s="92"/>
      <c r="I43" s="93"/>
      <c r="J43" s="92"/>
      <c r="K43" s="93"/>
      <c r="L43" s="92"/>
      <c r="M43" s="93"/>
      <c r="N43" s="92"/>
      <c r="O43" s="93"/>
      <c r="P43" s="92"/>
      <c r="Q43" s="93"/>
    </row>
    <row r="44" spans="1:17" s="80" customFormat="1" ht="12" customHeight="1" x14ac:dyDescent="0.4">
      <c r="A44" s="23" t="s">
        <v>43</v>
      </c>
      <c r="B44" s="89" t="s">
        <v>63</v>
      </c>
      <c r="C44" s="103" t="s">
        <v>64</v>
      </c>
      <c r="D44" s="24">
        <v>973</v>
      </c>
      <c r="E44" s="68">
        <v>39.4</v>
      </c>
      <c r="F44" s="24">
        <v>1909</v>
      </c>
      <c r="G44" s="68">
        <v>10.86</v>
      </c>
      <c r="H44" s="89" t="s">
        <v>63</v>
      </c>
      <c r="I44" s="103" t="s">
        <v>64</v>
      </c>
      <c r="J44" s="24">
        <v>871</v>
      </c>
      <c r="K44" s="68">
        <v>8.06</v>
      </c>
      <c r="L44" s="24">
        <v>2504</v>
      </c>
      <c r="M44" s="68">
        <v>1.83</v>
      </c>
      <c r="N44" s="24">
        <v>3194</v>
      </c>
      <c r="O44" s="68">
        <v>21.68</v>
      </c>
      <c r="P44" s="25">
        <v>2241</v>
      </c>
      <c r="Q44" s="68">
        <v>-5.64</v>
      </c>
    </row>
    <row r="45" spans="1:17" s="80" customFormat="1" ht="12" customHeight="1" x14ac:dyDescent="0.4">
      <c r="A45" s="20" t="s">
        <v>44</v>
      </c>
      <c r="B45" s="21">
        <v>1367</v>
      </c>
      <c r="C45" s="65">
        <v>9.89</v>
      </c>
      <c r="D45" s="21">
        <v>1796</v>
      </c>
      <c r="E45" s="65">
        <v>9.18</v>
      </c>
      <c r="F45" s="21">
        <v>1545</v>
      </c>
      <c r="G45" s="65">
        <v>1.25</v>
      </c>
      <c r="H45" s="22">
        <v>1376</v>
      </c>
      <c r="I45" s="66">
        <v>7</v>
      </c>
      <c r="J45" s="21">
        <v>1713</v>
      </c>
      <c r="K45" s="65">
        <v>4.51</v>
      </c>
      <c r="L45" s="22">
        <v>1074</v>
      </c>
      <c r="M45" s="64">
        <v>-2.36</v>
      </c>
      <c r="N45" s="21">
        <v>2349</v>
      </c>
      <c r="O45" s="65">
        <v>-0.47</v>
      </c>
      <c r="P45" s="22">
        <v>1947</v>
      </c>
      <c r="Q45" s="66">
        <v>1.88</v>
      </c>
    </row>
    <row r="46" spans="1:17" s="80" customFormat="1" ht="12" customHeight="1" x14ac:dyDescent="0.4">
      <c r="A46" s="23" t="s">
        <v>66</v>
      </c>
      <c r="B46" s="24">
        <v>4453</v>
      </c>
      <c r="C46" s="67">
        <v>-8.92</v>
      </c>
      <c r="D46" s="24">
        <v>5013</v>
      </c>
      <c r="E46" s="68">
        <v>-11.54</v>
      </c>
      <c r="F46" s="24">
        <v>2484</v>
      </c>
      <c r="G46" s="68">
        <v>-0.96</v>
      </c>
      <c r="H46" s="24">
        <v>5000</v>
      </c>
      <c r="I46" s="68">
        <v>-9.75</v>
      </c>
      <c r="J46" s="24">
        <v>3072</v>
      </c>
      <c r="K46" s="68">
        <v>-19.79</v>
      </c>
      <c r="L46" s="24">
        <v>2373</v>
      </c>
      <c r="M46" s="68">
        <v>-3.22</v>
      </c>
      <c r="N46" s="24">
        <v>1996</v>
      </c>
      <c r="O46" s="68">
        <v>-29.47</v>
      </c>
      <c r="P46" s="24">
        <v>3807</v>
      </c>
      <c r="Q46" s="68">
        <v>-13.83</v>
      </c>
    </row>
    <row r="47" spans="1:17" s="80" customFormat="1" ht="12" customHeight="1" x14ac:dyDescent="0.4">
      <c r="A47" s="20" t="s">
        <v>45</v>
      </c>
      <c r="B47" s="21">
        <v>1725</v>
      </c>
      <c r="C47" s="65">
        <v>-2.93</v>
      </c>
      <c r="D47" s="21">
        <v>2699</v>
      </c>
      <c r="E47" s="65">
        <v>-4.76</v>
      </c>
      <c r="F47" s="21">
        <v>3324</v>
      </c>
      <c r="G47" s="65">
        <v>15.82</v>
      </c>
      <c r="H47" s="22">
        <v>1639</v>
      </c>
      <c r="I47" s="66">
        <v>4.26</v>
      </c>
      <c r="J47" s="21">
        <v>2682</v>
      </c>
      <c r="K47" s="65">
        <v>-1.69</v>
      </c>
      <c r="L47" s="21">
        <v>3291</v>
      </c>
      <c r="M47" s="65">
        <v>-0.12</v>
      </c>
      <c r="N47" s="21">
        <v>2841</v>
      </c>
      <c r="O47" s="65">
        <v>3.61</v>
      </c>
      <c r="P47" s="22">
        <v>2593</v>
      </c>
      <c r="Q47" s="66">
        <v>-3.68</v>
      </c>
    </row>
    <row r="48" spans="1:17" s="80" customFormat="1" ht="12" customHeight="1" x14ac:dyDescent="0.4">
      <c r="A48" s="27" t="s">
        <v>46</v>
      </c>
      <c r="B48" s="28">
        <v>1073</v>
      </c>
      <c r="C48" s="69">
        <v>7.41</v>
      </c>
      <c r="D48" s="28">
        <v>1860</v>
      </c>
      <c r="E48" s="69">
        <v>-1.17</v>
      </c>
      <c r="F48" s="28">
        <v>1829</v>
      </c>
      <c r="G48" s="69">
        <v>-6.06</v>
      </c>
      <c r="H48" s="28">
        <v>1018</v>
      </c>
      <c r="I48" s="69">
        <v>-0.88</v>
      </c>
      <c r="J48" s="28">
        <v>1154</v>
      </c>
      <c r="K48" s="69">
        <v>12.26</v>
      </c>
      <c r="L48" s="28">
        <v>1802</v>
      </c>
      <c r="M48" s="69">
        <v>-1.31</v>
      </c>
      <c r="N48" s="76">
        <v>1311</v>
      </c>
      <c r="O48" s="105">
        <v>15.71</v>
      </c>
      <c r="P48" s="28">
        <v>1147</v>
      </c>
      <c r="Q48" s="69">
        <v>5.91</v>
      </c>
    </row>
    <row r="49" spans="1:25" s="80" customFormat="1" ht="11.5" customHeight="1" x14ac:dyDescent="0.4">
      <c r="A49" s="91" t="s">
        <v>67</v>
      </c>
      <c r="B49" s="92"/>
      <c r="C49" s="93"/>
      <c r="D49" s="92"/>
      <c r="E49" s="93"/>
      <c r="F49" s="92"/>
      <c r="G49" s="93"/>
      <c r="H49" s="92"/>
      <c r="I49" s="93"/>
      <c r="J49" s="92"/>
      <c r="K49" s="93"/>
      <c r="L49" s="92"/>
      <c r="M49" s="93"/>
      <c r="N49" s="92"/>
      <c r="O49" s="93"/>
      <c r="P49" s="92"/>
      <c r="Q49" s="93"/>
    </row>
    <row r="50" spans="1:25" s="80" customFormat="1" ht="12" customHeight="1" x14ac:dyDescent="0.4">
      <c r="A50" s="15" t="s">
        <v>68</v>
      </c>
      <c r="B50" s="29">
        <v>4016</v>
      </c>
      <c r="C50" s="72">
        <v>0.53</v>
      </c>
      <c r="D50" s="29">
        <v>3420</v>
      </c>
      <c r="E50" s="72">
        <v>-2.12</v>
      </c>
      <c r="F50" s="29">
        <v>4236</v>
      </c>
      <c r="G50" s="72">
        <v>-0.52</v>
      </c>
      <c r="H50" s="29">
        <v>3894</v>
      </c>
      <c r="I50" s="72">
        <v>-0.31</v>
      </c>
      <c r="J50" s="29">
        <v>3752</v>
      </c>
      <c r="K50" s="72">
        <v>0.19</v>
      </c>
      <c r="L50" s="29">
        <v>3789</v>
      </c>
      <c r="M50" s="72">
        <v>-2.02</v>
      </c>
      <c r="N50" s="29">
        <v>3924</v>
      </c>
      <c r="O50" s="72">
        <v>-0.66</v>
      </c>
      <c r="P50" s="29">
        <v>4111</v>
      </c>
      <c r="Q50" s="72">
        <v>0.71</v>
      </c>
    </row>
    <row r="51" spans="1:25" s="80" customFormat="1" ht="12" customHeight="1" x14ac:dyDescent="0.4">
      <c r="A51" s="30" t="s">
        <v>69</v>
      </c>
      <c r="B51" s="109" t="s">
        <v>63</v>
      </c>
      <c r="C51" s="62" t="s">
        <v>64</v>
      </c>
      <c r="D51" s="31">
        <v>3882</v>
      </c>
      <c r="E51" s="71">
        <v>-1.42</v>
      </c>
      <c r="F51" s="31">
        <v>4426</v>
      </c>
      <c r="G51" s="71">
        <v>0.59</v>
      </c>
      <c r="H51" s="31">
        <v>4438</v>
      </c>
      <c r="I51" s="71">
        <v>1.44</v>
      </c>
      <c r="J51" s="31">
        <v>4448</v>
      </c>
      <c r="K51" s="71">
        <v>-3.45</v>
      </c>
      <c r="L51" s="31">
        <v>3892</v>
      </c>
      <c r="M51" s="71">
        <v>-1.64</v>
      </c>
      <c r="N51" s="31">
        <v>4305</v>
      </c>
      <c r="O51" s="71">
        <v>0.99</v>
      </c>
      <c r="P51" s="31">
        <v>4110</v>
      </c>
      <c r="Q51" s="71">
        <v>3.01</v>
      </c>
    </row>
    <row r="52" spans="1:25" s="80" customFormat="1" ht="12" customHeight="1" x14ac:dyDescent="0.4">
      <c r="A52" s="15" t="s">
        <v>70</v>
      </c>
      <c r="B52" s="29">
        <v>8992</v>
      </c>
      <c r="C52" s="72">
        <v>3.06</v>
      </c>
      <c r="D52" s="29">
        <v>8947</v>
      </c>
      <c r="E52" s="72">
        <v>-0.59</v>
      </c>
      <c r="F52" s="29">
        <v>9120</v>
      </c>
      <c r="G52" s="72">
        <v>5.6</v>
      </c>
      <c r="H52" s="29">
        <v>9938</v>
      </c>
      <c r="I52" s="72">
        <v>1.93</v>
      </c>
      <c r="J52" s="29">
        <v>7493</v>
      </c>
      <c r="K52" s="72">
        <v>9.1199999999999992</v>
      </c>
      <c r="L52" s="29">
        <v>9300</v>
      </c>
      <c r="M52" s="72">
        <v>8.39</v>
      </c>
      <c r="N52" s="29">
        <v>9885</v>
      </c>
      <c r="O52" s="72">
        <v>-5.58</v>
      </c>
      <c r="P52" s="29">
        <v>11880</v>
      </c>
      <c r="Q52" s="72">
        <v>0</v>
      </c>
    </row>
    <row r="53" spans="1:25" s="80" customFormat="1" ht="12" customHeight="1" x14ac:dyDescent="0.4">
      <c r="A53" s="30" t="s">
        <v>71</v>
      </c>
      <c r="B53" s="109" t="s">
        <v>63</v>
      </c>
      <c r="C53" s="62" t="s">
        <v>64</v>
      </c>
      <c r="D53" s="31">
        <v>8061</v>
      </c>
      <c r="E53" s="71">
        <v>-9.9600000000000009</v>
      </c>
      <c r="F53" s="31">
        <v>6875</v>
      </c>
      <c r="G53" s="71">
        <v>0.61</v>
      </c>
      <c r="H53" s="109" t="s">
        <v>63</v>
      </c>
      <c r="I53" s="62" t="s">
        <v>64</v>
      </c>
      <c r="J53" s="109" t="s">
        <v>63</v>
      </c>
      <c r="K53" s="62" t="s">
        <v>64</v>
      </c>
      <c r="L53" s="31">
        <v>7483</v>
      </c>
      <c r="M53" s="71">
        <v>13.84</v>
      </c>
      <c r="N53" s="31">
        <v>6214</v>
      </c>
      <c r="O53" s="71">
        <v>1.01</v>
      </c>
      <c r="P53" s="31">
        <v>6555</v>
      </c>
      <c r="Q53" s="71">
        <v>0</v>
      </c>
    </row>
    <row r="54" spans="1:25" s="80" customFormat="1" ht="12" customHeight="1" x14ac:dyDescent="0.4">
      <c r="A54" s="15" t="s">
        <v>72</v>
      </c>
      <c r="B54" s="29">
        <v>8025</v>
      </c>
      <c r="C54" s="72">
        <v>3.55</v>
      </c>
      <c r="D54" s="29">
        <v>7040</v>
      </c>
      <c r="E54" s="72">
        <v>2.25</v>
      </c>
      <c r="F54" s="29">
        <v>8093</v>
      </c>
      <c r="G54" s="72">
        <v>0.71</v>
      </c>
      <c r="H54" s="29">
        <v>7875</v>
      </c>
      <c r="I54" s="72">
        <v>-3.08</v>
      </c>
      <c r="J54" s="29">
        <v>7080</v>
      </c>
      <c r="K54" s="72">
        <v>8.92</v>
      </c>
      <c r="L54" s="29">
        <v>7183</v>
      </c>
      <c r="M54" s="72">
        <v>2.34</v>
      </c>
      <c r="N54" s="29">
        <v>7652</v>
      </c>
      <c r="O54" s="72">
        <v>1.97</v>
      </c>
      <c r="P54" s="29">
        <v>7865</v>
      </c>
      <c r="Q54" s="72">
        <v>4.96</v>
      </c>
    </row>
    <row r="55" spans="1:25" s="80" customFormat="1" ht="12" customHeight="1" x14ac:dyDescent="0.4">
      <c r="A55" s="30" t="s">
        <v>73</v>
      </c>
      <c r="B55" s="31">
        <v>2642</v>
      </c>
      <c r="C55" s="71">
        <v>4.26</v>
      </c>
      <c r="D55" s="31">
        <v>2424</v>
      </c>
      <c r="E55" s="71">
        <v>-3.96</v>
      </c>
      <c r="F55" s="109" t="s">
        <v>63</v>
      </c>
      <c r="G55" s="62" t="s">
        <v>64</v>
      </c>
      <c r="H55" s="31">
        <v>2917</v>
      </c>
      <c r="I55" s="73">
        <v>-0.71</v>
      </c>
      <c r="J55" s="31">
        <v>2583</v>
      </c>
      <c r="K55" s="71">
        <v>4.7</v>
      </c>
      <c r="L55" s="31">
        <v>3047</v>
      </c>
      <c r="M55" s="71">
        <v>9.9600000000000009</v>
      </c>
      <c r="N55" s="31">
        <v>2315</v>
      </c>
      <c r="O55" s="71">
        <v>-5.51</v>
      </c>
      <c r="P55" s="31">
        <v>2865</v>
      </c>
      <c r="Q55" s="71">
        <v>0</v>
      </c>
    </row>
    <row r="56" spans="1:25" s="81" customFormat="1" ht="12" customHeight="1" x14ac:dyDescent="0.45">
      <c r="A56" s="15" t="s">
        <v>74</v>
      </c>
      <c r="B56" s="132" t="s">
        <v>63</v>
      </c>
      <c r="C56" s="63" t="s">
        <v>64</v>
      </c>
      <c r="D56" s="29">
        <v>421</v>
      </c>
      <c r="E56" s="74">
        <v>-0.47</v>
      </c>
      <c r="F56" s="132" t="s">
        <v>63</v>
      </c>
      <c r="G56" s="63" t="s">
        <v>64</v>
      </c>
      <c r="H56" s="29">
        <v>505</v>
      </c>
      <c r="I56" s="72">
        <v>3.27</v>
      </c>
      <c r="J56" s="29">
        <v>484</v>
      </c>
      <c r="K56" s="72">
        <v>-3.78</v>
      </c>
      <c r="L56" s="29">
        <v>449</v>
      </c>
      <c r="M56" s="72">
        <v>1.58</v>
      </c>
      <c r="N56" s="29">
        <v>436</v>
      </c>
      <c r="O56" s="72">
        <v>-5.83</v>
      </c>
      <c r="P56" s="29">
        <v>500</v>
      </c>
      <c r="Q56" s="72">
        <v>0</v>
      </c>
      <c r="R56" s="101"/>
      <c r="S56" s="68"/>
      <c r="T56" s="101"/>
      <c r="U56" s="68"/>
      <c r="V56" s="101"/>
      <c r="W56" s="67"/>
      <c r="X56" s="101"/>
      <c r="Y56" s="68"/>
    </row>
    <row r="57" spans="1:25" s="35" customFormat="1" ht="12" customHeight="1" x14ac:dyDescent="0.45">
      <c r="A57" s="30" t="s">
        <v>75</v>
      </c>
      <c r="B57" s="31">
        <v>17667</v>
      </c>
      <c r="C57" s="82">
        <v>4.43</v>
      </c>
      <c r="D57" s="31">
        <v>20183</v>
      </c>
      <c r="E57" s="71">
        <v>3.17</v>
      </c>
      <c r="F57" s="31">
        <v>20542</v>
      </c>
      <c r="G57" s="71">
        <v>-3.9</v>
      </c>
      <c r="H57" s="31">
        <v>18219</v>
      </c>
      <c r="I57" s="82">
        <v>5.43</v>
      </c>
      <c r="J57" s="31">
        <v>21000</v>
      </c>
      <c r="K57" s="71">
        <v>7.01</v>
      </c>
      <c r="L57" s="31">
        <v>23250</v>
      </c>
      <c r="M57" s="71">
        <v>5.36</v>
      </c>
      <c r="N57" s="31">
        <v>24825</v>
      </c>
      <c r="O57" s="71">
        <v>5.36</v>
      </c>
      <c r="P57" s="109" t="s">
        <v>63</v>
      </c>
      <c r="Q57" s="62" t="s">
        <v>64</v>
      </c>
      <c r="S57" s="75"/>
      <c r="U57" s="75"/>
      <c r="W57" s="75"/>
      <c r="Y57" s="75"/>
    </row>
    <row r="58" spans="1:25" s="35" customFormat="1" ht="12" customHeight="1" x14ac:dyDescent="0.45">
      <c r="A58" s="15" t="s">
        <v>76</v>
      </c>
      <c r="B58" s="29" t="s">
        <v>63</v>
      </c>
      <c r="C58" s="118" t="s">
        <v>64</v>
      </c>
      <c r="D58" s="29">
        <v>21725</v>
      </c>
      <c r="E58" s="72">
        <v>14.53</v>
      </c>
      <c r="F58" s="132" t="s">
        <v>63</v>
      </c>
      <c r="G58" s="63" t="s">
        <v>64</v>
      </c>
      <c r="H58" s="29">
        <v>17200</v>
      </c>
      <c r="I58" s="97">
        <v>1.81</v>
      </c>
      <c r="J58" s="29">
        <v>22655</v>
      </c>
      <c r="K58" s="72">
        <v>-1.31</v>
      </c>
      <c r="L58" s="87">
        <v>21900</v>
      </c>
      <c r="M58" s="84">
        <v>-0.45</v>
      </c>
      <c r="N58" s="29">
        <v>22590</v>
      </c>
      <c r="O58" s="72">
        <v>5.74</v>
      </c>
      <c r="P58" s="29">
        <v>23500</v>
      </c>
      <c r="Q58" s="72">
        <v>11.9</v>
      </c>
      <c r="S58" s="75"/>
      <c r="U58" s="75"/>
      <c r="W58" s="75"/>
      <c r="Y58" s="75"/>
    </row>
    <row r="59" spans="1:25" s="35" customFormat="1" ht="12" customHeight="1" x14ac:dyDescent="0.45">
      <c r="A59" s="30" t="s">
        <v>77</v>
      </c>
      <c r="B59" s="31">
        <v>42083</v>
      </c>
      <c r="C59" s="71">
        <v>5.21</v>
      </c>
      <c r="D59" s="31">
        <v>43383</v>
      </c>
      <c r="E59" s="71">
        <v>2.5299999999999998</v>
      </c>
      <c r="F59" s="31">
        <v>80850</v>
      </c>
      <c r="G59" s="71">
        <v>0.06</v>
      </c>
      <c r="H59" s="31">
        <v>46525</v>
      </c>
      <c r="I59" s="71">
        <v>0</v>
      </c>
      <c r="J59" s="109" t="s">
        <v>63</v>
      </c>
      <c r="K59" s="109" t="s">
        <v>64</v>
      </c>
      <c r="L59" s="31">
        <v>35733</v>
      </c>
      <c r="M59" s="71">
        <v>0.19</v>
      </c>
      <c r="N59" s="31">
        <v>55740</v>
      </c>
      <c r="O59" s="71">
        <v>1.24</v>
      </c>
      <c r="P59" s="31">
        <v>36400</v>
      </c>
      <c r="Q59" s="71">
        <v>1.1100000000000001</v>
      </c>
      <c r="S59" s="75"/>
      <c r="U59" s="75"/>
      <c r="W59" s="75"/>
      <c r="Y59" s="75"/>
    </row>
    <row r="60" spans="1:25" s="35" customFormat="1" ht="12" customHeight="1" x14ac:dyDescent="0.45">
      <c r="A60" s="15" t="s">
        <v>78</v>
      </c>
      <c r="B60" s="29">
        <v>13225</v>
      </c>
      <c r="C60" s="72">
        <v>0.19</v>
      </c>
      <c r="D60" s="87">
        <v>17480</v>
      </c>
      <c r="E60" s="74">
        <v>5.94</v>
      </c>
      <c r="F60" s="87">
        <v>14281</v>
      </c>
      <c r="G60" s="74">
        <v>-15.16</v>
      </c>
      <c r="H60" s="29">
        <v>13925</v>
      </c>
      <c r="I60" s="72">
        <v>6.14</v>
      </c>
      <c r="J60" s="29">
        <v>14480</v>
      </c>
      <c r="K60" s="72">
        <v>-0.48</v>
      </c>
      <c r="L60" s="87">
        <v>12673</v>
      </c>
      <c r="M60" s="74">
        <v>0.05</v>
      </c>
      <c r="N60" s="29">
        <v>15175</v>
      </c>
      <c r="O60" s="72">
        <v>-0.09</v>
      </c>
      <c r="P60" s="132" t="s">
        <v>63</v>
      </c>
      <c r="Q60" s="63" t="s">
        <v>64</v>
      </c>
      <c r="S60" s="75"/>
      <c r="U60" s="75"/>
      <c r="W60" s="75"/>
      <c r="Y60" s="75"/>
    </row>
    <row r="61" spans="1:25" s="35" customFormat="1" ht="12" customHeight="1" x14ac:dyDescent="0.45">
      <c r="A61" s="30" t="s">
        <v>79</v>
      </c>
      <c r="B61" s="31">
        <v>6963</v>
      </c>
      <c r="C61" s="71">
        <v>-0.01</v>
      </c>
      <c r="D61" s="90">
        <v>9375</v>
      </c>
      <c r="E61" s="95">
        <v>8.31</v>
      </c>
      <c r="F61" s="31">
        <v>8161</v>
      </c>
      <c r="G61" s="71">
        <v>1.64</v>
      </c>
      <c r="H61" s="31">
        <v>7531</v>
      </c>
      <c r="I61" s="73">
        <v>5.39</v>
      </c>
      <c r="J61" s="31">
        <v>10864</v>
      </c>
      <c r="K61" s="71">
        <v>-0.51</v>
      </c>
      <c r="L61" s="109" t="s">
        <v>63</v>
      </c>
      <c r="M61" s="62" t="s">
        <v>64</v>
      </c>
      <c r="N61" s="31">
        <v>9189</v>
      </c>
      <c r="O61" s="71">
        <v>21.76</v>
      </c>
      <c r="P61" s="31">
        <v>7480</v>
      </c>
      <c r="Q61" s="71">
        <v>11.51</v>
      </c>
      <c r="S61" s="75"/>
      <c r="U61" s="75"/>
      <c r="W61" s="75"/>
      <c r="Y61" s="75"/>
    </row>
    <row r="62" spans="1:25" s="35" customFormat="1" ht="12" customHeight="1" x14ac:dyDescent="0.45">
      <c r="A62" s="15" t="s">
        <v>80</v>
      </c>
      <c r="B62" s="29">
        <v>3708</v>
      </c>
      <c r="C62" s="72">
        <v>0</v>
      </c>
      <c r="D62" s="29">
        <v>3629</v>
      </c>
      <c r="E62" s="72">
        <v>1.45</v>
      </c>
      <c r="F62" s="29">
        <v>3422</v>
      </c>
      <c r="G62" s="72">
        <v>-10.42</v>
      </c>
      <c r="H62" s="29">
        <v>3155</v>
      </c>
      <c r="I62" s="72">
        <v>-6.05</v>
      </c>
      <c r="J62" s="29">
        <v>3360</v>
      </c>
      <c r="K62" s="72">
        <v>-3.53</v>
      </c>
      <c r="L62" s="132" t="s">
        <v>63</v>
      </c>
      <c r="M62" s="63" t="s">
        <v>64</v>
      </c>
      <c r="N62" s="29">
        <v>3203</v>
      </c>
      <c r="O62" s="72">
        <v>-18.54</v>
      </c>
      <c r="P62" s="132" t="s">
        <v>63</v>
      </c>
      <c r="Q62" s="63" t="s">
        <v>64</v>
      </c>
      <c r="S62" s="75"/>
      <c r="U62" s="75"/>
      <c r="W62" s="75"/>
      <c r="Y62" s="75"/>
    </row>
    <row r="63" spans="1:25" s="35" customFormat="1" ht="12" customHeight="1" x14ac:dyDescent="0.45">
      <c r="A63" s="30" t="s">
        <v>81</v>
      </c>
      <c r="B63" s="31">
        <v>14369</v>
      </c>
      <c r="C63" s="71">
        <v>-0.46</v>
      </c>
      <c r="D63" s="31">
        <v>15785</v>
      </c>
      <c r="E63" s="71">
        <v>8.02</v>
      </c>
      <c r="F63" s="31">
        <v>17013</v>
      </c>
      <c r="G63" s="71">
        <v>-5.28</v>
      </c>
      <c r="H63" s="31">
        <v>13968</v>
      </c>
      <c r="I63" s="71">
        <v>0</v>
      </c>
      <c r="J63" s="31">
        <v>16792</v>
      </c>
      <c r="K63" s="71">
        <v>1.18</v>
      </c>
      <c r="L63" s="90">
        <v>17002</v>
      </c>
      <c r="M63" s="82">
        <v>3.39</v>
      </c>
      <c r="N63" s="31">
        <v>14951</v>
      </c>
      <c r="O63" s="71">
        <v>6.38</v>
      </c>
      <c r="P63" s="90">
        <v>14670</v>
      </c>
      <c r="Q63" s="82">
        <v>0.3</v>
      </c>
      <c r="S63" s="75"/>
      <c r="U63" s="75"/>
      <c r="W63" s="75"/>
      <c r="Y63" s="75"/>
    </row>
    <row r="64" spans="1:25" s="35" customFormat="1" ht="12" customHeight="1" x14ac:dyDescent="0.45">
      <c r="A64" s="15" t="s">
        <v>82</v>
      </c>
      <c r="B64" s="29">
        <v>2978</v>
      </c>
      <c r="C64" s="72">
        <v>0.03</v>
      </c>
      <c r="D64" s="29">
        <v>2718</v>
      </c>
      <c r="E64" s="72">
        <v>-0.18</v>
      </c>
      <c r="F64" s="29">
        <v>3273</v>
      </c>
      <c r="G64" s="72">
        <v>2.31</v>
      </c>
      <c r="H64" s="29">
        <v>2445</v>
      </c>
      <c r="I64" s="72">
        <v>-0.2</v>
      </c>
      <c r="J64" s="29">
        <v>4891</v>
      </c>
      <c r="K64" s="72">
        <v>1.96</v>
      </c>
      <c r="L64" s="29">
        <v>3025</v>
      </c>
      <c r="M64" s="84">
        <v>-3.88</v>
      </c>
      <c r="N64" s="29">
        <v>3784</v>
      </c>
      <c r="O64" s="72">
        <v>2.27</v>
      </c>
      <c r="P64" s="29">
        <v>3650</v>
      </c>
      <c r="Q64" s="72">
        <v>-0.11</v>
      </c>
      <c r="S64" s="75"/>
      <c r="U64" s="75"/>
      <c r="W64" s="75"/>
      <c r="Y64" s="75"/>
    </row>
    <row r="65" spans="1:25" s="35" customFormat="1" ht="12" customHeight="1" x14ac:dyDescent="0.45">
      <c r="A65" s="30" t="s">
        <v>83</v>
      </c>
      <c r="B65" s="31">
        <v>2903</v>
      </c>
      <c r="C65" s="71">
        <v>-0.1</v>
      </c>
      <c r="D65" s="31">
        <v>4000</v>
      </c>
      <c r="E65" s="71">
        <v>2.2000000000000002</v>
      </c>
      <c r="F65" s="31">
        <v>3023</v>
      </c>
      <c r="G65" s="71">
        <v>-5.35</v>
      </c>
      <c r="H65" s="31">
        <v>3458</v>
      </c>
      <c r="I65" s="71">
        <v>0</v>
      </c>
      <c r="J65" s="31">
        <v>4775</v>
      </c>
      <c r="K65" s="71">
        <v>0.02</v>
      </c>
      <c r="L65" s="31">
        <v>2650</v>
      </c>
      <c r="M65" s="82">
        <v>-1.23</v>
      </c>
      <c r="N65" s="109" t="s">
        <v>63</v>
      </c>
      <c r="O65" s="108" t="s">
        <v>64</v>
      </c>
      <c r="P65" s="31">
        <v>3573</v>
      </c>
      <c r="Q65" s="71">
        <v>0.11</v>
      </c>
      <c r="S65" s="75"/>
      <c r="U65" s="75"/>
      <c r="W65" s="75"/>
      <c r="Y65" s="75"/>
    </row>
    <row r="66" spans="1:25" s="35" customFormat="1" ht="12" customHeight="1" x14ac:dyDescent="0.45">
      <c r="A66" s="15" t="s">
        <v>84</v>
      </c>
      <c r="B66" s="29">
        <v>39491</v>
      </c>
      <c r="C66" s="72">
        <v>0.71</v>
      </c>
      <c r="D66" s="29">
        <v>37729</v>
      </c>
      <c r="E66" s="84">
        <v>-0.38</v>
      </c>
      <c r="F66" s="132" t="s">
        <v>63</v>
      </c>
      <c r="G66" s="118" t="s">
        <v>64</v>
      </c>
      <c r="H66" s="29">
        <v>36458</v>
      </c>
      <c r="I66" s="72">
        <v>-0.95</v>
      </c>
      <c r="J66" s="29">
        <v>38889</v>
      </c>
      <c r="K66" s="74">
        <v>1.51</v>
      </c>
      <c r="L66" s="132" t="s">
        <v>63</v>
      </c>
      <c r="M66" s="118" t="s">
        <v>64</v>
      </c>
      <c r="N66" s="87">
        <v>37750</v>
      </c>
      <c r="O66" s="84">
        <v>8.5</v>
      </c>
      <c r="P66" s="132" t="s">
        <v>63</v>
      </c>
      <c r="Q66" s="118" t="s">
        <v>64</v>
      </c>
      <c r="S66" s="75"/>
      <c r="U66" s="75"/>
      <c r="W66" s="75"/>
      <c r="Y66" s="75"/>
    </row>
    <row r="67" spans="1:25" s="35" customFormat="1" ht="12" customHeight="1" x14ac:dyDescent="0.45">
      <c r="A67" s="30" t="s">
        <v>85</v>
      </c>
      <c r="B67" s="31">
        <v>37861</v>
      </c>
      <c r="C67" s="71">
        <v>0.15</v>
      </c>
      <c r="D67" s="31">
        <v>29534</v>
      </c>
      <c r="E67" s="73">
        <v>0.47</v>
      </c>
      <c r="F67" s="90">
        <v>37088</v>
      </c>
      <c r="G67" s="95">
        <v>1.85</v>
      </c>
      <c r="H67" s="109" t="s">
        <v>63</v>
      </c>
      <c r="I67" s="108" t="s">
        <v>64</v>
      </c>
      <c r="J67" s="31">
        <v>28391</v>
      </c>
      <c r="K67" s="73">
        <v>-4.95</v>
      </c>
      <c r="L67" s="90">
        <v>30025</v>
      </c>
      <c r="M67" s="82">
        <v>-0.54</v>
      </c>
      <c r="N67" s="31">
        <v>32736</v>
      </c>
      <c r="O67" s="71">
        <v>4.87</v>
      </c>
      <c r="P67" s="90">
        <v>39110</v>
      </c>
      <c r="Q67" s="82">
        <v>-0.09</v>
      </c>
      <c r="R67" s="102"/>
      <c r="S67" s="37"/>
      <c r="T67" s="102"/>
      <c r="U67" s="37"/>
      <c r="V67" s="102"/>
      <c r="W67" s="37"/>
      <c r="X67" s="102"/>
      <c r="Y67" s="37"/>
    </row>
    <row r="68" spans="1:25" s="35" customFormat="1" ht="12" customHeight="1" x14ac:dyDescent="0.45">
      <c r="A68" s="15" t="s">
        <v>86</v>
      </c>
      <c r="B68" s="29">
        <v>15889</v>
      </c>
      <c r="C68" s="97">
        <v>-0.84</v>
      </c>
      <c r="D68" s="29">
        <v>14536</v>
      </c>
      <c r="E68" s="72">
        <v>0.88</v>
      </c>
      <c r="F68" s="29">
        <v>16073</v>
      </c>
      <c r="G68" s="72">
        <v>-7.48</v>
      </c>
      <c r="H68" s="132" t="s">
        <v>63</v>
      </c>
      <c r="I68" s="63" t="s">
        <v>64</v>
      </c>
      <c r="J68" s="29">
        <v>26233</v>
      </c>
      <c r="K68" s="72">
        <v>2.71</v>
      </c>
      <c r="L68" s="132" t="s">
        <v>63</v>
      </c>
      <c r="M68" s="118" t="s">
        <v>64</v>
      </c>
      <c r="N68" s="29">
        <v>14813</v>
      </c>
      <c r="O68" s="72">
        <v>2.81</v>
      </c>
      <c r="P68" s="148">
        <v>13431</v>
      </c>
      <c r="Q68" s="74">
        <v>-0.16</v>
      </c>
      <c r="R68" s="102"/>
      <c r="S68" s="37"/>
      <c r="T68" s="102"/>
      <c r="U68" s="37"/>
      <c r="V68" s="102"/>
      <c r="W68" s="37"/>
      <c r="X68" s="102"/>
      <c r="Y68" s="37"/>
    </row>
    <row r="69" spans="1:25" s="35" customFormat="1" ht="12" customHeight="1" x14ac:dyDescent="0.45">
      <c r="A69" s="30" t="s">
        <v>87</v>
      </c>
      <c r="B69" s="90">
        <v>5020</v>
      </c>
      <c r="C69" s="82">
        <v>-0.02</v>
      </c>
      <c r="D69" s="31">
        <v>5378</v>
      </c>
      <c r="E69" s="71">
        <v>7.73</v>
      </c>
      <c r="F69" s="31">
        <v>5271</v>
      </c>
      <c r="G69" s="71">
        <v>27.23</v>
      </c>
      <c r="H69" s="109" t="s">
        <v>63</v>
      </c>
      <c r="I69" s="62" t="s">
        <v>64</v>
      </c>
      <c r="J69" s="31">
        <v>5919</v>
      </c>
      <c r="K69" s="71">
        <v>0.75</v>
      </c>
      <c r="L69" s="90">
        <v>5241</v>
      </c>
      <c r="M69" s="82">
        <v>11.3</v>
      </c>
      <c r="N69" s="31">
        <v>5549</v>
      </c>
      <c r="O69" s="71">
        <v>6.81</v>
      </c>
      <c r="P69" s="90">
        <v>5573</v>
      </c>
      <c r="Q69" s="73">
        <v>0</v>
      </c>
      <c r="R69" s="102"/>
      <c r="S69" s="37"/>
      <c r="T69" s="102"/>
      <c r="U69" s="37"/>
      <c r="V69" s="102"/>
      <c r="W69" s="37"/>
      <c r="X69" s="102"/>
      <c r="Y69" s="37"/>
    </row>
    <row r="70" spans="1:25" s="35" customFormat="1" ht="12" customHeight="1" x14ac:dyDescent="0.45">
      <c r="A70" s="15" t="s">
        <v>88</v>
      </c>
      <c r="B70" s="29">
        <v>6944</v>
      </c>
      <c r="C70" s="72">
        <v>0.3</v>
      </c>
      <c r="D70" s="29">
        <v>7288</v>
      </c>
      <c r="E70" s="72">
        <v>-0.04</v>
      </c>
      <c r="F70" s="29">
        <v>7094</v>
      </c>
      <c r="G70" s="72">
        <v>-2.84</v>
      </c>
      <c r="H70" s="87">
        <v>6500</v>
      </c>
      <c r="I70" s="72">
        <v>-1.57</v>
      </c>
      <c r="J70" s="29">
        <v>7681</v>
      </c>
      <c r="K70" s="72">
        <v>-1.25</v>
      </c>
      <c r="L70" s="87">
        <v>3403</v>
      </c>
      <c r="M70" s="84">
        <v>5.98</v>
      </c>
      <c r="N70" s="29">
        <v>7195</v>
      </c>
      <c r="O70" s="72">
        <v>-8.11</v>
      </c>
      <c r="P70" s="29">
        <v>6820</v>
      </c>
      <c r="Q70" s="72">
        <v>0.01</v>
      </c>
      <c r="R70" s="102"/>
      <c r="S70" s="37"/>
      <c r="T70" s="102"/>
      <c r="U70" s="37"/>
      <c r="V70" s="102"/>
      <c r="W70" s="37"/>
      <c r="X70" s="102"/>
      <c r="Y70" s="37"/>
    </row>
    <row r="71" spans="1:25" s="35" customFormat="1" ht="12" customHeight="1" x14ac:dyDescent="0.45">
      <c r="A71" s="30" t="s">
        <v>89</v>
      </c>
      <c r="B71" s="31">
        <v>20454</v>
      </c>
      <c r="C71" s="71">
        <v>-0.41</v>
      </c>
      <c r="D71" s="31">
        <v>20300</v>
      </c>
      <c r="E71" s="71">
        <v>0.92</v>
      </c>
      <c r="F71" s="31">
        <v>16543</v>
      </c>
      <c r="G71" s="71">
        <v>-1.9</v>
      </c>
      <c r="H71" s="31">
        <v>20399</v>
      </c>
      <c r="I71" s="71">
        <v>0</v>
      </c>
      <c r="J71" s="31">
        <v>21898</v>
      </c>
      <c r="K71" s="71">
        <v>-0.94</v>
      </c>
      <c r="L71" s="31">
        <v>21354</v>
      </c>
      <c r="M71" s="71">
        <v>4.63</v>
      </c>
      <c r="N71" s="31">
        <v>22661</v>
      </c>
      <c r="O71" s="71">
        <v>-0.39</v>
      </c>
      <c r="P71" s="109" t="s">
        <v>63</v>
      </c>
      <c r="Q71" s="108" t="s">
        <v>64</v>
      </c>
      <c r="S71" s="75"/>
      <c r="U71" s="75"/>
      <c r="W71" s="75"/>
      <c r="Y71" s="75"/>
    </row>
    <row r="72" spans="1:25" s="35" customFormat="1" ht="12" customHeight="1" x14ac:dyDescent="0.45">
      <c r="A72" s="149" t="s">
        <v>90</v>
      </c>
      <c r="B72" s="150">
        <v>11833</v>
      </c>
      <c r="C72" s="151">
        <v>-0.08</v>
      </c>
      <c r="D72" s="150">
        <v>16126</v>
      </c>
      <c r="E72" s="152">
        <v>3.09</v>
      </c>
      <c r="F72" s="153" t="s">
        <v>63</v>
      </c>
      <c r="G72" s="154" t="s">
        <v>64</v>
      </c>
      <c r="H72" s="150">
        <v>10983</v>
      </c>
      <c r="I72" s="151">
        <v>4.88</v>
      </c>
      <c r="J72" s="150">
        <v>14641</v>
      </c>
      <c r="K72" s="151">
        <v>2.2599999999999998</v>
      </c>
      <c r="L72" s="155">
        <v>16797</v>
      </c>
      <c r="M72" s="156">
        <v>-0.26</v>
      </c>
      <c r="N72" s="153" t="s">
        <v>63</v>
      </c>
      <c r="O72" s="154" t="s">
        <v>64</v>
      </c>
      <c r="P72" s="150">
        <v>17588</v>
      </c>
      <c r="Q72" s="157">
        <v>0.01</v>
      </c>
      <c r="S72" s="75"/>
      <c r="U72" s="75"/>
      <c r="W72" s="75"/>
      <c r="Y72" s="75"/>
    </row>
    <row r="73" spans="1:25" s="35" customFormat="1" ht="12" customHeight="1" x14ac:dyDescent="0.45">
      <c r="A73" s="15"/>
      <c r="B73" s="29"/>
      <c r="C73" s="72"/>
      <c r="D73" s="29"/>
      <c r="E73" s="97"/>
      <c r="F73" s="132"/>
      <c r="G73" s="118"/>
      <c r="H73" s="29"/>
      <c r="I73" s="72"/>
      <c r="J73" s="29"/>
      <c r="K73" s="72"/>
      <c r="L73" s="87"/>
      <c r="M73" s="74"/>
      <c r="N73" s="132"/>
      <c r="O73" s="118"/>
      <c r="P73" s="29"/>
      <c r="Q73" s="63"/>
      <c r="S73" s="75"/>
      <c r="U73" s="75"/>
      <c r="W73" s="75"/>
      <c r="Y73" s="75"/>
    </row>
    <row r="74" spans="1:25" s="35" customFormat="1" ht="12" customHeight="1" x14ac:dyDescent="0.45">
      <c r="A74" s="15"/>
      <c r="B74" s="29"/>
      <c r="C74" s="72"/>
      <c r="D74" s="29"/>
      <c r="E74" s="97"/>
      <c r="F74" s="132"/>
      <c r="G74" s="118"/>
      <c r="H74" s="29"/>
      <c r="I74" s="72"/>
      <c r="J74" s="29"/>
      <c r="K74" s="72"/>
      <c r="L74" s="87"/>
      <c r="M74" s="74"/>
      <c r="N74" s="132"/>
      <c r="O74" s="118"/>
      <c r="P74" s="29"/>
      <c r="Q74" s="63"/>
      <c r="S74" s="75"/>
      <c r="U74" s="75"/>
      <c r="W74" s="75"/>
      <c r="Y74" s="75"/>
    </row>
    <row r="75" spans="1:25" s="35" customFormat="1" x14ac:dyDescent="0.45">
      <c r="A75" s="125" t="s">
        <v>60</v>
      </c>
      <c r="B75" s="29"/>
      <c r="C75" s="72"/>
      <c r="D75" s="87"/>
      <c r="E75" s="74"/>
      <c r="F75" s="86"/>
      <c r="G75" s="63"/>
      <c r="H75" s="29"/>
      <c r="I75" s="72"/>
      <c r="J75" s="29"/>
      <c r="K75" s="72"/>
      <c r="L75" s="87"/>
      <c r="M75" s="84"/>
      <c r="N75" s="86"/>
      <c r="O75" s="88"/>
      <c r="P75" s="29"/>
      <c r="Q75" s="72"/>
      <c r="R75" s="32"/>
      <c r="S75" s="33"/>
      <c r="T75" s="32"/>
      <c r="U75" s="33"/>
      <c r="V75" s="32"/>
      <c r="W75" s="33"/>
      <c r="X75" s="32"/>
      <c r="Y75" s="33"/>
    </row>
    <row r="76" spans="1:25" s="35" customFormat="1" x14ac:dyDescent="0.45">
      <c r="A76" s="23" t="s">
        <v>12</v>
      </c>
      <c r="B76" s="36"/>
      <c r="C76" s="37"/>
      <c r="D76" s="36"/>
      <c r="E76" s="37"/>
      <c r="F76" s="36"/>
      <c r="G76" s="37"/>
      <c r="H76" s="36"/>
      <c r="I76" s="37"/>
      <c r="J76" s="36"/>
      <c r="K76" s="37"/>
      <c r="L76" s="36"/>
      <c r="M76" s="37"/>
      <c r="N76" s="36"/>
      <c r="O76" s="37"/>
      <c r="P76" s="36"/>
      <c r="Q76" s="37"/>
      <c r="R76" s="36"/>
      <c r="S76" s="37"/>
      <c r="T76" s="36"/>
      <c r="U76" s="37"/>
      <c r="V76" s="36"/>
      <c r="W76" s="37"/>
      <c r="X76" s="36"/>
      <c r="Y76" s="37"/>
    </row>
    <row r="77" spans="1:25" s="35" customFormat="1" x14ac:dyDescent="0.45">
      <c r="A77" s="38" t="s">
        <v>13</v>
      </c>
      <c r="B77" s="36"/>
      <c r="C77" s="37"/>
      <c r="D77" s="36"/>
      <c r="E77" s="37"/>
      <c r="F77" s="36"/>
      <c r="G77" s="37"/>
      <c r="H77" s="36"/>
      <c r="I77" s="37"/>
      <c r="J77" s="36"/>
      <c r="K77" s="37"/>
      <c r="L77" s="36"/>
      <c r="M77" s="37"/>
      <c r="N77" s="36"/>
      <c r="O77" s="37"/>
      <c r="P77" s="36"/>
      <c r="Q77" s="37"/>
      <c r="R77" s="36"/>
      <c r="S77" s="37"/>
      <c r="T77" s="36"/>
      <c r="U77" s="37"/>
      <c r="V77" s="36"/>
      <c r="W77" s="37"/>
      <c r="X77" s="36"/>
      <c r="Y77" s="37"/>
    </row>
    <row r="78" spans="1:25" s="35" customFormat="1" ht="19.5" customHeight="1" x14ac:dyDescent="0.45">
      <c r="A78" s="171" t="s">
        <v>49</v>
      </c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</row>
    <row r="79" spans="1:25" s="35" customFormat="1" x14ac:dyDescent="0.45">
      <c r="A79" s="23" t="s">
        <v>14</v>
      </c>
      <c r="B79" s="39"/>
      <c r="C79" s="40"/>
      <c r="D79" s="41"/>
      <c r="E79" s="40"/>
      <c r="F79" s="41"/>
      <c r="G79" s="40"/>
      <c r="H79" s="42"/>
      <c r="I79" s="40"/>
      <c r="J79" s="39"/>
      <c r="K79" s="40"/>
      <c r="L79" s="41"/>
      <c r="M79" s="40"/>
      <c r="N79" s="41"/>
      <c r="O79" s="40"/>
      <c r="P79" s="42"/>
      <c r="Q79" s="40"/>
      <c r="R79" s="41"/>
      <c r="S79" s="43"/>
      <c r="T79" s="41"/>
      <c r="U79" s="43"/>
      <c r="V79" s="41"/>
      <c r="W79" s="43"/>
      <c r="X79" s="41"/>
      <c r="Y79" s="43"/>
    </row>
    <row r="80" spans="1:25" s="35" customFormat="1" x14ac:dyDescent="0.45">
      <c r="A80" s="44" t="s">
        <v>15</v>
      </c>
      <c r="B80" s="36"/>
      <c r="C80" s="37"/>
      <c r="D80" s="36"/>
      <c r="E80" s="37"/>
      <c r="F80" s="36"/>
      <c r="G80" s="37"/>
      <c r="H80" s="36"/>
      <c r="I80" s="37"/>
      <c r="J80" s="36"/>
      <c r="K80" s="37"/>
      <c r="L80" s="36"/>
      <c r="M80" s="37"/>
      <c r="N80" s="36"/>
      <c r="O80" s="37"/>
      <c r="P80" s="36"/>
      <c r="Q80" s="37"/>
      <c r="R80" s="36"/>
      <c r="S80" s="37"/>
      <c r="T80" s="36"/>
      <c r="U80" s="37"/>
      <c r="V80" s="36"/>
      <c r="W80" s="37"/>
      <c r="X80" s="36"/>
      <c r="Y80" s="37"/>
    </row>
    <row r="82" spans="1:17" x14ac:dyDescent="0.45">
      <c r="A82" s="8" t="str">
        <f>+Índice!A13</f>
        <v>Fecha de actualización: 10 de enero de 2025</v>
      </c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</row>
  </sheetData>
  <mergeCells count="11">
    <mergeCell ref="A78:Y78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hyperlinks>
    <hyperlink ref="S5" location="Índice!A1" display="Regresar al índice" xr:uid="{172CDF23-0751-4F6A-B5E0-48C27F080073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Y57"/>
  <sheetViews>
    <sheetView showGridLines="0" topLeftCell="A31" zoomScale="85" zoomScaleNormal="85" workbookViewId="0">
      <selection activeCell="A41" sqref="A41:I41"/>
    </sheetView>
  </sheetViews>
  <sheetFormatPr baseColWidth="10" defaultColWidth="11.453125" defaultRowHeight="16" x14ac:dyDescent="0.45"/>
  <cols>
    <col min="1" max="1" width="24.453125" style="51" customWidth="1"/>
    <col min="2" max="2" width="12" style="51" bestFit="1" customWidth="1"/>
    <col min="3" max="3" width="9.453125" style="51" customWidth="1"/>
    <col min="4" max="4" width="13.54296875" style="51" bestFit="1" customWidth="1"/>
    <col min="5" max="5" width="12" style="51" customWidth="1"/>
    <col min="6" max="6" width="10.26953125" style="51" customWidth="1"/>
    <col min="7" max="7" width="9.453125" style="51" customWidth="1"/>
    <col min="8" max="8" width="10.54296875" style="51" customWidth="1"/>
    <col min="9" max="9" width="9.26953125" style="51" customWidth="1"/>
    <col min="10" max="16384" width="11.453125" style="51"/>
  </cols>
  <sheetData>
    <row r="1" spans="1:11" s="45" customFormat="1" ht="18" customHeight="1" x14ac:dyDescent="0.4"/>
    <row r="2" spans="1:11" s="45" customFormat="1" ht="33" customHeight="1" x14ac:dyDescent="0.4"/>
    <row r="3" spans="1:11" s="45" customFormat="1" ht="19" customHeight="1" x14ac:dyDescent="0.4"/>
    <row r="4" spans="1:11" s="45" customFormat="1" ht="18.75" customHeight="1" x14ac:dyDescent="0.4">
      <c r="A4" s="178" t="s">
        <v>0</v>
      </c>
      <c r="B4" s="178"/>
      <c r="C4" s="178"/>
      <c r="D4" s="178"/>
      <c r="E4" s="178"/>
      <c r="F4" s="178"/>
      <c r="G4" s="178"/>
      <c r="H4" s="178"/>
      <c r="I4" s="178"/>
    </row>
    <row r="5" spans="1:11" s="45" customFormat="1" ht="24" customHeight="1" x14ac:dyDescent="0.4">
      <c r="A5" s="178"/>
      <c r="B5" s="178"/>
      <c r="C5" s="178"/>
      <c r="D5" s="178"/>
      <c r="E5" s="178"/>
      <c r="F5" s="178"/>
      <c r="G5" s="178"/>
      <c r="H5" s="178"/>
      <c r="I5" s="178"/>
      <c r="K5" s="128" t="s">
        <v>61</v>
      </c>
    </row>
    <row r="6" spans="1:11" s="45" customFormat="1" ht="18.75" customHeight="1" x14ac:dyDescent="0.4">
      <c r="A6" s="46" t="s">
        <v>16</v>
      </c>
      <c r="B6" s="47"/>
      <c r="C6" s="47"/>
      <c r="D6" s="47"/>
      <c r="E6" s="47"/>
      <c r="F6" s="47"/>
      <c r="G6" s="47"/>
      <c r="H6" s="47"/>
      <c r="I6" s="47"/>
    </row>
    <row r="7" spans="1:11" s="45" customFormat="1" ht="15" customHeight="1" x14ac:dyDescent="0.4">
      <c r="A7" s="46" t="str">
        <f>+"Variación año corrido. "&amp;Índice!A7</f>
        <v>Variación año corrido. Diciembre de 2024</v>
      </c>
      <c r="B7" s="47"/>
      <c r="C7" s="47"/>
      <c r="D7" s="47"/>
      <c r="E7" s="47"/>
      <c r="F7" s="47"/>
      <c r="G7" s="47"/>
      <c r="H7" s="47"/>
      <c r="I7" s="47"/>
    </row>
    <row r="8" spans="1:11" s="45" customFormat="1" ht="14" x14ac:dyDescent="0.4"/>
    <row r="9" spans="1:11" x14ac:dyDescent="0.45">
      <c r="A9" s="48" t="s">
        <v>50</v>
      </c>
      <c r="B9" s="49" t="s">
        <v>2</v>
      </c>
      <c r="C9" s="49" t="s">
        <v>3</v>
      </c>
      <c r="D9" s="49" t="s">
        <v>4</v>
      </c>
      <c r="E9" s="50" t="s">
        <v>5</v>
      </c>
      <c r="F9" s="49" t="s">
        <v>6</v>
      </c>
      <c r="G9" s="49" t="s">
        <v>7</v>
      </c>
      <c r="H9" s="49" t="s">
        <v>8</v>
      </c>
      <c r="I9" s="49" t="s">
        <v>9</v>
      </c>
    </row>
    <row r="10" spans="1:11" ht="14.15" customHeight="1" x14ac:dyDescent="0.45">
      <c r="A10" s="52" t="s">
        <v>17</v>
      </c>
      <c r="B10" s="52"/>
      <c r="C10" s="52"/>
      <c r="D10" s="52"/>
      <c r="E10" s="52"/>
      <c r="F10" s="52"/>
      <c r="G10" s="52"/>
      <c r="H10" s="52"/>
      <c r="I10" s="52"/>
    </row>
    <row r="11" spans="1:11" ht="14.15" customHeight="1" x14ac:dyDescent="0.45">
      <c r="A11" s="1" t="s">
        <v>18</v>
      </c>
      <c r="B11" s="134">
        <v>-34.142752023546727</v>
      </c>
      <c r="C11" s="135">
        <v>-23.418573351278603</v>
      </c>
      <c r="D11" s="135">
        <v>-31.611570247933905</v>
      </c>
      <c r="E11" s="96" t="s">
        <v>64</v>
      </c>
      <c r="F11" s="135">
        <v>-21.900566393958478</v>
      </c>
      <c r="G11" s="135">
        <v>-13.61985472154965</v>
      </c>
      <c r="H11" s="135">
        <v>-19.825327510917035</v>
      </c>
      <c r="I11" s="135">
        <v>-16.647531572904693</v>
      </c>
    </row>
    <row r="12" spans="1:11" ht="14.15" customHeight="1" x14ac:dyDescent="0.45">
      <c r="A12" s="77" t="s">
        <v>19</v>
      </c>
      <c r="B12" s="136">
        <v>-20.064334539605923</v>
      </c>
      <c r="C12" s="136">
        <v>-0.55599682287528207</v>
      </c>
      <c r="D12" s="136">
        <v>-7.5121163166397054</v>
      </c>
      <c r="E12" s="98" t="s">
        <v>64</v>
      </c>
      <c r="F12" s="136">
        <v>-22.425184609405381</v>
      </c>
      <c r="G12" s="136">
        <v>-17.051509769094142</v>
      </c>
      <c r="H12" s="136">
        <v>50.903934774902517</v>
      </c>
      <c r="I12" s="137">
        <v>-17.157802964254564</v>
      </c>
    </row>
    <row r="13" spans="1:11" ht="14.15" customHeight="1" x14ac:dyDescent="0.45">
      <c r="A13" s="1" t="s">
        <v>20</v>
      </c>
      <c r="B13" s="135">
        <v>-7.6164874551971629</v>
      </c>
      <c r="C13" s="135">
        <v>-10.644418872267025</v>
      </c>
      <c r="D13" s="135">
        <v>-8.7033747779751476</v>
      </c>
      <c r="E13" s="135">
        <v>-11.314031180400885</v>
      </c>
      <c r="F13" s="135">
        <v>-26.128472222222253</v>
      </c>
      <c r="G13" s="135">
        <v>-19.742268041237121</v>
      </c>
      <c r="H13" s="135">
        <v>-4.933196300102793</v>
      </c>
      <c r="I13" s="135">
        <v>-12.41446725317692</v>
      </c>
    </row>
    <row r="14" spans="1:11" ht="14.15" customHeight="1" x14ac:dyDescent="0.45">
      <c r="A14" s="77" t="s">
        <v>21</v>
      </c>
      <c r="B14" s="138">
        <v>-0.74288072637225255</v>
      </c>
      <c r="C14" s="136">
        <v>-18.712273641851084</v>
      </c>
      <c r="D14" s="136">
        <v>0.7593457943925408</v>
      </c>
      <c r="E14" s="139">
        <v>-13.630653266331649</v>
      </c>
      <c r="F14" s="137">
        <v>-19.76141078838176</v>
      </c>
      <c r="G14" s="136">
        <v>-18.929577464788771</v>
      </c>
      <c r="H14" s="136">
        <v>44.890829694323116</v>
      </c>
      <c r="I14" s="136">
        <v>-16.321839080459778</v>
      </c>
    </row>
    <row r="15" spans="1:11" ht="14.15" customHeight="1" x14ac:dyDescent="0.45">
      <c r="A15" s="1" t="s">
        <v>22</v>
      </c>
      <c r="B15" s="96" t="s">
        <v>64</v>
      </c>
      <c r="C15" s="135">
        <v>-7.2093023255814348</v>
      </c>
      <c r="D15" s="135">
        <v>22.117400419287179</v>
      </c>
      <c r="E15" s="135">
        <v>-15.439429928741077</v>
      </c>
      <c r="F15" s="135">
        <v>20.151679306608862</v>
      </c>
      <c r="G15" s="135">
        <v>21.00386100386098</v>
      </c>
      <c r="H15" s="135">
        <v>8.3060824068018171</v>
      </c>
      <c r="I15" s="99" t="s">
        <v>64</v>
      </c>
    </row>
    <row r="16" spans="1:11" ht="14.15" customHeight="1" x14ac:dyDescent="0.45">
      <c r="A16" s="77" t="s">
        <v>57</v>
      </c>
      <c r="B16" s="137">
        <v>-16.895976652074228</v>
      </c>
      <c r="C16" s="136">
        <v>-9.056364787840387</v>
      </c>
      <c r="D16" s="136">
        <v>16.460541813898711</v>
      </c>
      <c r="E16" s="94" t="s">
        <v>64</v>
      </c>
      <c r="F16" s="136">
        <v>-9.5616673828964434</v>
      </c>
      <c r="G16" s="136">
        <v>-4.4653123802223309</v>
      </c>
      <c r="H16" s="136">
        <v>3.8795779019242582</v>
      </c>
      <c r="I16" s="139">
        <v>-8.2534715431253467</v>
      </c>
    </row>
    <row r="17" spans="1:9" ht="14.15" customHeight="1" x14ac:dyDescent="0.45">
      <c r="A17" s="1" t="s">
        <v>23</v>
      </c>
      <c r="B17" s="135">
        <v>26.089417091114942</v>
      </c>
      <c r="C17" s="135">
        <v>14.754098360655732</v>
      </c>
      <c r="D17" s="135">
        <v>35.282009057225224</v>
      </c>
      <c r="E17" s="135">
        <v>44.359523081626385</v>
      </c>
      <c r="F17" s="135">
        <v>-24.243680066307515</v>
      </c>
      <c r="G17" s="135">
        <v>18.288456411623599</v>
      </c>
      <c r="H17" s="135">
        <v>50.941176470588175</v>
      </c>
      <c r="I17" s="135">
        <v>3.4198599093530957</v>
      </c>
    </row>
    <row r="18" spans="1:9" ht="14.15" customHeight="1" x14ac:dyDescent="0.45">
      <c r="A18" s="77" t="s">
        <v>24</v>
      </c>
      <c r="B18" s="136">
        <v>-11.300000000000022</v>
      </c>
      <c r="C18" s="136">
        <v>-9.6877502001601279</v>
      </c>
      <c r="D18" s="136">
        <v>-9.259259259259256</v>
      </c>
      <c r="E18" s="136">
        <v>-18.267551519385293</v>
      </c>
      <c r="F18" s="136">
        <v>-17.982456140350855</v>
      </c>
      <c r="G18" s="136">
        <v>1.5541740674955618</v>
      </c>
      <c r="H18" s="136">
        <v>3.9565554693560712</v>
      </c>
      <c r="I18" s="136">
        <v>-19.585253456221231</v>
      </c>
    </row>
    <row r="19" spans="1:9" ht="14.15" customHeight="1" x14ac:dyDescent="0.45">
      <c r="A19" s="1" t="s">
        <v>25</v>
      </c>
      <c r="B19" s="135">
        <v>71.074380165289284</v>
      </c>
      <c r="C19" s="135">
        <v>60.962566844919785</v>
      </c>
      <c r="D19" s="135">
        <v>1.5444015444015191</v>
      </c>
      <c r="E19" s="135">
        <v>52.584814216478158</v>
      </c>
      <c r="F19" s="135">
        <v>-4.1159962581852056</v>
      </c>
      <c r="G19" s="135">
        <v>52.117863720073629</v>
      </c>
      <c r="H19" s="135">
        <v>26.473099914602869</v>
      </c>
      <c r="I19" s="135">
        <v>49.486977111286535</v>
      </c>
    </row>
    <row r="20" spans="1:9" ht="14.15" customHeight="1" x14ac:dyDescent="0.45">
      <c r="A20" s="77" t="s">
        <v>26</v>
      </c>
      <c r="B20" s="136">
        <v>7.0128319904505743</v>
      </c>
      <c r="C20" s="136">
        <v>67.166011787819286</v>
      </c>
      <c r="D20" s="136">
        <v>22.144568690095845</v>
      </c>
      <c r="E20" s="136">
        <v>29.950383400992276</v>
      </c>
      <c r="F20" s="136">
        <v>32.669185846788082</v>
      </c>
      <c r="G20" s="136">
        <v>30.173646578140946</v>
      </c>
      <c r="H20" s="136">
        <v>14.413265306122479</v>
      </c>
      <c r="I20" s="136">
        <v>68.575757575757507</v>
      </c>
    </row>
    <row r="21" spans="1:9" ht="14.15" customHeight="1" x14ac:dyDescent="0.45">
      <c r="A21" s="1" t="s">
        <v>27</v>
      </c>
      <c r="B21" s="135">
        <v>-12.492113564668795</v>
      </c>
      <c r="C21" s="135">
        <v>-24.126172208013653</v>
      </c>
      <c r="D21" s="135">
        <v>5.0084889643463582</v>
      </c>
      <c r="E21" s="135">
        <v>-14.650059311981034</v>
      </c>
      <c r="F21" s="135">
        <v>-34.823091247672252</v>
      </c>
      <c r="G21" s="135">
        <v>-12.861538461538446</v>
      </c>
      <c r="H21" s="135">
        <v>16.267942583731987</v>
      </c>
      <c r="I21" s="140">
        <v>-10.913549969343938</v>
      </c>
    </row>
    <row r="22" spans="1:9" ht="14.15" customHeight="1" x14ac:dyDescent="0.45">
      <c r="A22" s="77" t="s">
        <v>28</v>
      </c>
      <c r="B22" s="136">
        <v>-2.0071487489689455</v>
      </c>
      <c r="C22" s="136">
        <v>-12.858359352824333</v>
      </c>
      <c r="D22" s="136">
        <v>-1.1462205700124017</v>
      </c>
      <c r="E22" s="137">
        <v>-4.4486384470207589</v>
      </c>
      <c r="F22" s="137">
        <v>-26.659557451346306</v>
      </c>
      <c r="G22" s="137">
        <v>-1.9401330376939918</v>
      </c>
      <c r="H22" s="136">
        <v>-23.783132530120497</v>
      </c>
      <c r="I22" s="136">
        <v>-5.9936908517350336</v>
      </c>
    </row>
    <row r="23" spans="1:9" ht="14.15" customHeight="1" x14ac:dyDescent="0.45">
      <c r="A23" s="79" t="s">
        <v>29</v>
      </c>
      <c r="B23" s="141">
        <v>30.626326963906592</v>
      </c>
      <c r="C23" s="142">
        <v>47.310704960835558</v>
      </c>
      <c r="D23" s="142">
        <v>45.633802816901436</v>
      </c>
      <c r="E23" s="142">
        <v>31.161616161616166</v>
      </c>
      <c r="F23" s="142">
        <v>35.783365570599599</v>
      </c>
      <c r="G23" s="142">
        <v>18.858560794044688</v>
      </c>
      <c r="H23" s="142">
        <v>20.259938837920476</v>
      </c>
      <c r="I23" s="143">
        <v>43.048403707518013</v>
      </c>
    </row>
    <row r="24" spans="1:9" ht="14.15" customHeight="1" x14ac:dyDescent="0.45">
      <c r="A24" s="52" t="s">
        <v>30</v>
      </c>
      <c r="B24" s="52"/>
      <c r="C24" s="52"/>
      <c r="D24" s="52"/>
      <c r="E24" s="52"/>
      <c r="F24" s="52"/>
      <c r="G24" s="52"/>
      <c r="H24" s="52"/>
      <c r="I24" s="52"/>
    </row>
    <row r="25" spans="1:9" ht="14.15" customHeight="1" x14ac:dyDescent="0.45">
      <c r="A25" s="1" t="s">
        <v>48</v>
      </c>
      <c r="B25" s="96" t="s">
        <v>64</v>
      </c>
      <c r="C25" s="135">
        <v>-2.4634334103156519</v>
      </c>
      <c r="D25" s="134">
        <v>14.396887159533067</v>
      </c>
      <c r="E25" s="96" t="s">
        <v>64</v>
      </c>
      <c r="F25" s="134">
        <v>-11.489673970017789</v>
      </c>
      <c r="G25" s="99" t="s">
        <v>64</v>
      </c>
      <c r="H25" s="135">
        <v>-9.1047396138092438</v>
      </c>
      <c r="I25" s="96">
        <v>-9.4585635359116242</v>
      </c>
    </row>
    <row r="26" spans="1:9" ht="14.15" customHeight="1" x14ac:dyDescent="0.45">
      <c r="A26" s="77" t="s">
        <v>31</v>
      </c>
      <c r="B26" s="136">
        <v>23.622047244094535</v>
      </c>
      <c r="C26" s="136">
        <v>35.676156583629862</v>
      </c>
      <c r="D26" s="136">
        <v>45.253320216428897</v>
      </c>
      <c r="E26" s="98" t="s">
        <v>64</v>
      </c>
      <c r="F26" s="136">
        <v>60.598345003182665</v>
      </c>
      <c r="G26" s="136">
        <v>65.240384615384613</v>
      </c>
      <c r="H26" s="136">
        <v>49.283351708930567</v>
      </c>
      <c r="I26" s="136">
        <v>48.005502063273738</v>
      </c>
    </row>
    <row r="27" spans="1:9" ht="14.15" customHeight="1" x14ac:dyDescent="0.45">
      <c r="A27" s="1" t="s">
        <v>32</v>
      </c>
      <c r="B27" s="134">
        <v>62.803921568627416</v>
      </c>
      <c r="C27" s="135">
        <v>21.382321939466941</v>
      </c>
      <c r="D27" s="96" t="s">
        <v>64</v>
      </c>
      <c r="E27" s="135">
        <v>60.66341066341068</v>
      </c>
      <c r="F27" s="135">
        <v>26.272959776796089</v>
      </c>
      <c r="G27" s="96" t="s">
        <v>64</v>
      </c>
      <c r="H27" s="135">
        <v>49.325284090909058</v>
      </c>
      <c r="I27" s="134">
        <v>28.619585369964582</v>
      </c>
    </row>
    <row r="28" spans="1:9" ht="14.15" customHeight="1" x14ac:dyDescent="0.45">
      <c r="A28" s="77" t="s">
        <v>33</v>
      </c>
      <c r="B28" s="98" t="s">
        <v>64</v>
      </c>
      <c r="C28" s="136">
        <v>17.528864897285956</v>
      </c>
      <c r="D28" s="136">
        <v>12.527817777196004</v>
      </c>
      <c r="E28" s="94" t="s">
        <v>64</v>
      </c>
      <c r="F28" s="137">
        <v>4.8525798525798303</v>
      </c>
      <c r="G28" s="137">
        <v>29.687261632341723</v>
      </c>
      <c r="H28" s="136">
        <v>11.167985109353173</v>
      </c>
      <c r="I28" s="94" t="s">
        <v>64</v>
      </c>
    </row>
    <row r="29" spans="1:9" ht="14.15" customHeight="1" x14ac:dyDescent="0.45">
      <c r="A29" s="1" t="s">
        <v>34</v>
      </c>
      <c r="B29" s="135">
        <v>8.3060659451296139</v>
      </c>
      <c r="C29" s="135">
        <v>27.96384901648057</v>
      </c>
      <c r="D29" s="135">
        <v>18.696027633851475</v>
      </c>
      <c r="E29" s="135">
        <v>8.7121212121212146</v>
      </c>
      <c r="F29" s="134">
        <v>9.6787479406919239</v>
      </c>
      <c r="G29" s="135">
        <v>30.636503067484668</v>
      </c>
      <c r="H29" s="135">
        <v>33.009279717189614</v>
      </c>
      <c r="I29" s="135">
        <v>15.852047556142601</v>
      </c>
    </row>
    <row r="30" spans="1:9" ht="14.15" customHeight="1" x14ac:dyDescent="0.45">
      <c r="A30" s="77" t="s">
        <v>54</v>
      </c>
      <c r="B30" s="137">
        <v>5.9657701711491207</v>
      </c>
      <c r="C30" s="137">
        <v>20.402892561983464</v>
      </c>
      <c r="D30" s="136">
        <v>-0.91296409007910473</v>
      </c>
      <c r="E30" s="136">
        <v>18.15424610051992</v>
      </c>
      <c r="F30" s="137">
        <v>11.906556141672953</v>
      </c>
      <c r="G30" s="137">
        <v>24.871435250116903</v>
      </c>
      <c r="H30" s="136">
        <v>-7.6043453401944188</v>
      </c>
      <c r="I30" s="136">
        <v>-9.1130012150668289</v>
      </c>
    </row>
    <row r="31" spans="1:9" ht="14.15" customHeight="1" x14ac:dyDescent="0.45">
      <c r="A31" s="1" t="s">
        <v>35</v>
      </c>
      <c r="B31" s="135">
        <v>17.857918748642156</v>
      </c>
      <c r="C31" s="135">
        <v>28.615043019705723</v>
      </c>
      <c r="D31" s="135">
        <v>35.056113408151205</v>
      </c>
      <c r="E31" s="135">
        <v>30.552522384800174</v>
      </c>
      <c r="F31" s="135">
        <v>19.935972060535477</v>
      </c>
      <c r="G31" s="135">
        <v>13.784764207980672</v>
      </c>
      <c r="H31" s="135">
        <v>36.951423785594663</v>
      </c>
      <c r="I31" s="135">
        <v>43.533313234850745</v>
      </c>
    </row>
    <row r="32" spans="1:9" ht="14.15" customHeight="1" x14ac:dyDescent="0.45">
      <c r="A32" s="77" t="s">
        <v>36</v>
      </c>
      <c r="B32" s="136">
        <v>15.828274067649595</v>
      </c>
      <c r="C32" s="136">
        <v>31.857265692175439</v>
      </c>
      <c r="D32" s="94" t="s">
        <v>64</v>
      </c>
      <c r="E32" s="94" t="s">
        <v>64</v>
      </c>
      <c r="F32" s="137">
        <v>27.399267399267369</v>
      </c>
      <c r="G32" s="136">
        <v>43.943233654333504</v>
      </c>
      <c r="H32" s="136">
        <v>-39.233739233739243</v>
      </c>
      <c r="I32" s="94" t="s">
        <v>64</v>
      </c>
    </row>
    <row r="33" spans="1:25" ht="14.15" customHeight="1" x14ac:dyDescent="0.45">
      <c r="A33" s="1" t="s">
        <v>37</v>
      </c>
      <c r="B33" s="144">
        <v>-16.333725029377188</v>
      </c>
      <c r="C33" s="144">
        <v>-29.074682949741625</v>
      </c>
      <c r="D33" s="135">
        <v>-35.449299258037925</v>
      </c>
      <c r="E33" s="99" t="s">
        <v>64</v>
      </c>
      <c r="F33" s="135">
        <v>-21.556122448979565</v>
      </c>
      <c r="G33" s="96">
        <v>-17.041602465331273</v>
      </c>
      <c r="H33" s="135">
        <v>-38.572189664358014</v>
      </c>
      <c r="I33" s="144">
        <v>-7.3928258967628668</v>
      </c>
    </row>
    <row r="34" spans="1:25" ht="14.15" customHeight="1" x14ac:dyDescent="0.45">
      <c r="A34" s="77" t="s">
        <v>51</v>
      </c>
      <c r="B34" s="94" t="s">
        <v>64</v>
      </c>
      <c r="C34" s="136">
        <v>-3.6073741903338341</v>
      </c>
      <c r="D34" s="136">
        <v>-6.0645023036536845</v>
      </c>
      <c r="E34" s="136">
        <v>-11.807041431628097</v>
      </c>
      <c r="F34" s="136">
        <v>-11.771808028976782</v>
      </c>
      <c r="G34" s="136">
        <v>-19.24932035429271</v>
      </c>
      <c r="H34" s="136">
        <v>-7.8351164254247818</v>
      </c>
      <c r="I34" s="136">
        <v>-13.677217663149644</v>
      </c>
    </row>
    <row r="35" spans="1:25" ht="14.15" customHeight="1" x14ac:dyDescent="0.45">
      <c r="A35" s="1" t="s">
        <v>38</v>
      </c>
      <c r="B35" s="96" t="s">
        <v>64</v>
      </c>
      <c r="C35" s="135">
        <v>18.854242204496032</v>
      </c>
      <c r="D35" s="135">
        <v>32.539992196644583</v>
      </c>
      <c r="E35" s="96" t="s">
        <v>64</v>
      </c>
      <c r="F35" s="135">
        <v>13.978138456442558</v>
      </c>
      <c r="G35" s="135">
        <v>11.162682757020171</v>
      </c>
      <c r="H35" s="135">
        <v>62.837413684871258</v>
      </c>
      <c r="I35" s="135">
        <v>21.964229683087531</v>
      </c>
    </row>
    <row r="36" spans="1:25" ht="14.15" customHeight="1" x14ac:dyDescent="0.45">
      <c r="A36" s="77" t="s">
        <v>39</v>
      </c>
      <c r="B36" s="136">
        <v>-9.5238095238095344</v>
      </c>
      <c r="C36" s="136">
        <v>-4.614612940979768</v>
      </c>
      <c r="D36" s="136">
        <v>-22.124733222670145</v>
      </c>
      <c r="E36" s="136">
        <v>-14.174950298210753</v>
      </c>
      <c r="F36" s="136">
        <v>2.5094339622641737</v>
      </c>
      <c r="G36" s="136">
        <v>-24.782162993336765</v>
      </c>
      <c r="H36" s="136">
        <v>-12.642513301241475</v>
      </c>
      <c r="I36" s="136">
        <v>-0.74204256981058592</v>
      </c>
    </row>
    <row r="37" spans="1:25" ht="14.15" customHeight="1" x14ac:dyDescent="0.45">
      <c r="A37" s="1" t="s">
        <v>56</v>
      </c>
      <c r="B37" s="96" t="s">
        <v>64</v>
      </c>
      <c r="C37" s="135">
        <v>28.663653970303393</v>
      </c>
      <c r="D37" s="135">
        <v>35.107587768969431</v>
      </c>
      <c r="E37" s="96" t="s">
        <v>64</v>
      </c>
      <c r="F37" s="145">
        <v>25.488530161427359</v>
      </c>
      <c r="G37" s="134">
        <v>37.775551102204389</v>
      </c>
      <c r="H37" s="135">
        <v>35.99269183922047</v>
      </c>
      <c r="I37" s="135">
        <v>29.070580013976222</v>
      </c>
    </row>
    <row r="38" spans="1:25" ht="14.15" customHeight="1" x14ac:dyDescent="0.45">
      <c r="A38" s="77" t="s">
        <v>55</v>
      </c>
      <c r="B38" s="98" t="s">
        <v>64</v>
      </c>
      <c r="C38" s="137">
        <v>78.5326086956522</v>
      </c>
      <c r="D38" s="136" t="s">
        <v>64</v>
      </c>
      <c r="E38" s="137">
        <v>102.96296296296306</v>
      </c>
      <c r="F38" s="136">
        <v>43.031609195402339</v>
      </c>
      <c r="G38" s="136">
        <v>22.663043478260935</v>
      </c>
      <c r="H38" s="136">
        <v>24.959807073954998</v>
      </c>
      <c r="I38" s="136">
        <v>44.793850454227815</v>
      </c>
    </row>
    <row r="39" spans="1:25" ht="14.15" customHeight="1" x14ac:dyDescent="0.45">
      <c r="A39" s="1" t="s">
        <v>40</v>
      </c>
      <c r="B39" s="135">
        <v>-23.555665757500599</v>
      </c>
      <c r="C39" s="135">
        <v>-41.67741935483874</v>
      </c>
      <c r="D39" s="135">
        <v>-44.400785854616885</v>
      </c>
      <c r="E39" s="134">
        <v>-9.1981764548136002</v>
      </c>
      <c r="F39" s="134">
        <v>-25.526862570495702</v>
      </c>
      <c r="G39" s="96" t="s">
        <v>64</v>
      </c>
      <c r="H39" s="134">
        <v>-36.641791044776106</v>
      </c>
      <c r="I39" s="134">
        <v>-29.424633559396195</v>
      </c>
    </row>
    <row r="40" spans="1:25" ht="14.15" customHeight="1" x14ac:dyDescent="0.45">
      <c r="A40" s="78" t="s">
        <v>41</v>
      </c>
      <c r="B40" s="146">
        <v>52.998909487459088</v>
      </c>
      <c r="C40" s="146">
        <v>79.381443298969074</v>
      </c>
      <c r="D40" s="146">
        <v>87.2068230277184</v>
      </c>
      <c r="E40" s="146">
        <v>71.322620519159429</v>
      </c>
      <c r="F40" s="146">
        <v>79.120000000000019</v>
      </c>
      <c r="G40" s="147">
        <v>-10.575000000000056</v>
      </c>
      <c r="H40" s="146">
        <v>53.211736716891366</v>
      </c>
      <c r="I40" s="146">
        <v>38.178096212896676</v>
      </c>
    </row>
    <row r="41" spans="1:25" ht="14.15" customHeight="1" x14ac:dyDescent="0.45">
      <c r="A41" s="52" t="s">
        <v>42</v>
      </c>
      <c r="B41" s="52"/>
      <c r="C41" s="52"/>
      <c r="D41" s="52"/>
      <c r="E41" s="52"/>
      <c r="F41" s="52"/>
      <c r="G41" s="52"/>
      <c r="H41" s="52"/>
      <c r="I41" s="52"/>
    </row>
    <row r="42" spans="1:25" ht="14.15" customHeight="1" x14ac:dyDescent="0.45">
      <c r="A42" s="1" t="s">
        <v>43</v>
      </c>
      <c r="B42" s="99" t="s">
        <v>64</v>
      </c>
      <c r="C42" s="135">
        <v>-64.949567723342952</v>
      </c>
      <c r="D42" s="135">
        <v>-44.27904261529477</v>
      </c>
      <c r="E42" s="99" t="s">
        <v>64</v>
      </c>
      <c r="F42" s="135">
        <v>-71.072733311192309</v>
      </c>
      <c r="G42" s="135">
        <v>-34.876462938881673</v>
      </c>
      <c r="H42" s="135">
        <v>66.614501825769381</v>
      </c>
      <c r="I42" s="134">
        <v>-28.992395437262342</v>
      </c>
    </row>
    <row r="43" spans="1:25" ht="14.15" customHeight="1" x14ac:dyDescent="0.45">
      <c r="A43" s="77" t="s">
        <v>44</v>
      </c>
      <c r="B43" s="136">
        <v>-11.291369240752768</v>
      </c>
      <c r="C43" s="136">
        <v>-6.9911962713619769</v>
      </c>
      <c r="D43" s="136">
        <v>-10.538506079907339</v>
      </c>
      <c r="E43" s="136">
        <v>-18.724158298877757</v>
      </c>
      <c r="F43" s="136">
        <v>-9.4608879492600106</v>
      </c>
      <c r="G43" s="137">
        <v>-18.355995055624231</v>
      </c>
      <c r="H43" s="136">
        <v>6.4823209428830353</v>
      </c>
      <c r="I43" s="136">
        <v>-7.7288135593220346</v>
      </c>
    </row>
    <row r="44" spans="1:25" ht="14.15" customHeight="1" x14ac:dyDescent="0.45">
      <c r="A44" s="1" t="s">
        <v>52</v>
      </c>
      <c r="B44" s="96" t="s">
        <v>64</v>
      </c>
      <c r="C44" s="135">
        <v>23.472906403940907</v>
      </c>
      <c r="D44" s="135">
        <v>-8.4070796460177242</v>
      </c>
      <c r="E44" s="135">
        <v>20.394895256441046</v>
      </c>
      <c r="F44" s="135">
        <v>2.0259050149452174</v>
      </c>
      <c r="G44" s="135">
        <v>-16.414230362803817</v>
      </c>
      <c r="H44" s="135">
        <v>-11.564023039432858</v>
      </c>
      <c r="I44" s="135">
        <v>6.4002235885969538</v>
      </c>
    </row>
    <row r="45" spans="1:25" ht="14.15" customHeight="1" x14ac:dyDescent="0.45">
      <c r="A45" s="77" t="s">
        <v>45</v>
      </c>
      <c r="B45" s="136">
        <v>-27.307206068267988</v>
      </c>
      <c r="C45" s="136">
        <v>17.093275488069381</v>
      </c>
      <c r="D45" s="136">
        <v>11.319490957803136</v>
      </c>
      <c r="E45" s="136">
        <v>18.083573487031689</v>
      </c>
      <c r="F45" s="136">
        <v>21.138211382113823</v>
      </c>
      <c r="G45" s="136">
        <v>7.9016393442623345</v>
      </c>
      <c r="H45" s="136">
        <v>29.548563611491097</v>
      </c>
      <c r="I45" s="136">
        <v>21.281571562207667</v>
      </c>
    </row>
    <row r="46" spans="1:25" x14ac:dyDescent="0.45">
      <c r="A46" s="79" t="s">
        <v>46</v>
      </c>
      <c r="B46" s="142">
        <v>-19.80568011958146</v>
      </c>
      <c r="C46" s="142">
        <v>7.452339688041576</v>
      </c>
      <c r="D46" s="142">
        <v>-9.1405861897665197</v>
      </c>
      <c r="E46" s="142">
        <v>-9.107142857142847</v>
      </c>
      <c r="F46" s="142">
        <v>-2.2033898305084731</v>
      </c>
      <c r="G46" s="142">
        <v>-16.108007448789586</v>
      </c>
      <c r="H46" s="142">
        <v>28.551628551628582</v>
      </c>
      <c r="I46" s="142">
        <v>19.479166666666625</v>
      </c>
    </row>
    <row r="47" spans="1:25" x14ac:dyDescent="0.45">
      <c r="A47" s="1"/>
      <c r="B47" s="53"/>
      <c r="C47" s="53"/>
      <c r="D47" s="53"/>
      <c r="E47" s="53"/>
      <c r="F47" s="53"/>
      <c r="G47" s="53"/>
      <c r="H47" s="53"/>
      <c r="I47" s="53"/>
    </row>
    <row r="48" spans="1:25" s="35" customFormat="1" x14ac:dyDescent="0.45">
      <c r="A48" s="125" t="s">
        <v>60</v>
      </c>
      <c r="B48" s="29"/>
      <c r="C48" s="72"/>
      <c r="D48" s="87"/>
      <c r="E48" s="74"/>
      <c r="F48" s="86"/>
      <c r="G48" s="63"/>
      <c r="H48" s="29"/>
      <c r="I48" s="72"/>
      <c r="J48" s="29"/>
      <c r="K48" s="72"/>
      <c r="L48" s="87"/>
      <c r="M48" s="84"/>
      <c r="N48" s="86"/>
      <c r="O48" s="88"/>
      <c r="P48" s="29"/>
      <c r="Q48" s="72"/>
      <c r="R48" s="32"/>
      <c r="S48" s="33"/>
      <c r="T48" s="32"/>
      <c r="U48" s="33"/>
      <c r="V48" s="32"/>
      <c r="W48" s="33"/>
      <c r="X48" s="32"/>
      <c r="Y48" s="33"/>
    </row>
    <row r="49" spans="1:9" x14ac:dyDescent="0.45">
      <c r="A49" s="54" t="s">
        <v>12</v>
      </c>
      <c r="B49" s="55"/>
      <c r="C49" s="56"/>
      <c r="D49" s="56"/>
      <c r="E49" s="55"/>
      <c r="F49" s="56"/>
      <c r="G49" s="56"/>
      <c r="H49" s="56"/>
      <c r="I49" s="56"/>
    </row>
    <row r="50" spans="1:9" x14ac:dyDescent="0.45">
      <c r="A50" s="57" t="s">
        <v>53</v>
      </c>
      <c r="B50" s="57"/>
      <c r="C50" s="57"/>
      <c r="D50" s="57"/>
      <c r="E50" s="57"/>
      <c r="F50" s="57"/>
      <c r="G50" s="57"/>
      <c r="H50" s="57"/>
      <c r="I50" s="57"/>
    </row>
    <row r="51" spans="1:9" x14ac:dyDescent="0.45">
      <c r="A51" s="58" t="s">
        <v>14</v>
      </c>
      <c r="B51" s="55"/>
      <c r="C51" s="56"/>
      <c r="D51" s="56"/>
      <c r="E51" s="55"/>
      <c r="F51" s="56"/>
      <c r="G51" s="56"/>
      <c r="H51" s="56"/>
      <c r="I51" s="56"/>
    </row>
    <row r="52" spans="1:9" x14ac:dyDescent="0.45">
      <c r="A52" s="59" t="s">
        <v>15</v>
      </c>
      <c r="B52" s="60"/>
      <c r="C52" s="60"/>
      <c r="D52" s="60"/>
      <c r="E52" s="60"/>
      <c r="F52" s="60"/>
      <c r="G52" s="60"/>
      <c r="H52" s="60"/>
      <c r="I52" s="60"/>
    </row>
    <row r="53" spans="1:9" x14ac:dyDescent="0.45">
      <c r="A53" s="59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61" t="str">
        <f>+Índice!A13</f>
        <v>Fecha de actualización: 10 de enero de 2025</v>
      </c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59"/>
      <c r="B55" s="6"/>
      <c r="C55" s="7"/>
      <c r="D55" s="6"/>
      <c r="E55" s="7"/>
      <c r="F55" s="6"/>
      <c r="G55" s="7"/>
      <c r="H55" s="6"/>
      <c r="I55" s="7"/>
    </row>
    <row r="56" spans="1:9" x14ac:dyDescent="0.45">
      <c r="A56" s="59"/>
      <c r="B56" s="6"/>
      <c r="C56" s="7"/>
      <c r="D56" s="6"/>
      <c r="E56" s="7"/>
      <c r="F56" s="6"/>
      <c r="G56" s="7"/>
      <c r="H56" s="6"/>
      <c r="I56" s="7"/>
    </row>
    <row r="57" spans="1:9" x14ac:dyDescent="0.45">
      <c r="A57" s="59"/>
      <c r="B57" s="6"/>
      <c r="C57" s="7"/>
      <c r="D57" s="6"/>
      <c r="E57" s="7"/>
      <c r="F57" s="6"/>
      <c r="G57" s="7"/>
      <c r="H57" s="6"/>
      <c r="I57" s="7"/>
    </row>
  </sheetData>
  <mergeCells count="1">
    <mergeCell ref="A4:I5"/>
  </mergeCells>
  <hyperlinks>
    <hyperlink ref="K5" location="Índice!A1" display="Regresar al índice" xr:uid="{F7402EBD-9201-4A84-8AF0-7C5F9A3B5FC8}"/>
  </hyperlink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</vt:lpstr>
      <vt:lpstr>1</vt:lpstr>
      <vt:lpstr>2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2025-01-07T19:35:26Z</dcterms:modified>
</cp:coreProperties>
</file>