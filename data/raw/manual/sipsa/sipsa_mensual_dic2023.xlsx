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https://danegovco-my.sharepoint.com/personal/ebhernandezg_dane_gov_co/Documents/VARIOS/mes dic/"/>
    </mc:Choice>
  </mc:AlternateContent>
  <xr:revisionPtr revIDLastSave="16" documentId="13_ncr:1_{FF1E2060-EF35-4711-9A59-E868E80C1F0C}" xr6:coauthVersionLast="47" xr6:coauthVersionMax="47" xr10:uidLastSave="{C95AF6FA-1D7F-4B71-A93B-237FC29EE138}"/>
  <bookViews>
    <workbookView xWindow="-110" yWindow="-110" windowWidth="19420" windowHeight="10420" tabRatio="815" activeTab="2" xr2:uid="{00000000-000D-0000-FFFF-FFFF00000000}"/>
  </bookViews>
  <sheets>
    <sheet name="Índice" sheetId="519" r:id="rId1"/>
    <sheet name="Anexo 1" sheetId="520" r:id="rId2"/>
    <sheet name="Anexo 2" sheetId="52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9" i="520" l="1"/>
  <c r="A52" i="521"/>
  <c r="A11" i="519"/>
  <c r="A10" i="519" l="1"/>
</calcChain>
</file>

<file path=xl/sharedStrings.xml><?xml version="1.0" encoding="utf-8"?>
<sst xmlns="http://schemas.openxmlformats.org/spreadsheetml/2006/main" count="273" uniqueCount="89">
  <si>
    <t>Sistema de Información de Precios y Abastecimiento del Sector Agropecuario -SIPSA- 
Precios Mayoristas</t>
  </si>
  <si>
    <t>Precio $/Kg</t>
  </si>
  <si>
    <t>Barranquilla</t>
  </si>
  <si>
    <t>Bogotá</t>
  </si>
  <si>
    <t>Bucaramanga</t>
  </si>
  <si>
    <t>Cartagena</t>
  </si>
  <si>
    <t>Cali</t>
  </si>
  <si>
    <t>Cúcuta</t>
  </si>
  <si>
    <t>Medellín</t>
  </si>
  <si>
    <t>Pereira</t>
  </si>
  <si>
    <t>Precio</t>
  </si>
  <si>
    <t>Var %</t>
  </si>
  <si>
    <t>*Variedad predominante en el mercado</t>
  </si>
  <si>
    <t>** Los precios reportados para los huevos son $/unidad y los del aceite vegetal mezcla $/litro.</t>
  </si>
  <si>
    <t>n.d.: no disponible</t>
  </si>
  <si>
    <t xml:space="preserve"> -: no es posible calcular la variación</t>
  </si>
  <si>
    <t>Comportamiento de los precios mayoristas de los principales alimentos en las principales ocho ciudades.</t>
  </si>
  <si>
    <t>Hortalizas y verduras</t>
  </si>
  <si>
    <t>Ahuyama</t>
  </si>
  <si>
    <t>Arveja verde en vaina</t>
  </si>
  <si>
    <t>Cebolla cabezona blanca</t>
  </si>
  <si>
    <t>Cebolla junca</t>
  </si>
  <si>
    <t>Chócolo mazorca</t>
  </si>
  <si>
    <t>Habichuela</t>
  </si>
  <si>
    <t>Lechuga Batavia</t>
  </si>
  <si>
    <t>Pepino cohombro</t>
  </si>
  <si>
    <t>Pimentón</t>
  </si>
  <si>
    <t>Remolacha</t>
  </si>
  <si>
    <t>Tomate*</t>
  </si>
  <si>
    <t>Zanahoria</t>
  </si>
  <si>
    <t>Frutas frescas</t>
  </si>
  <si>
    <t>Banano*</t>
  </si>
  <si>
    <t>Coco</t>
  </si>
  <si>
    <t>Granadilla</t>
  </si>
  <si>
    <t>Guayaba pera</t>
  </si>
  <si>
    <t>Lulo</t>
  </si>
  <si>
    <t>Mandarina*</t>
  </si>
  <si>
    <t>Mango Tommy</t>
  </si>
  <si>
    <t>Maracuyá</t>
  </si>
  <si>
    <t>Mora de Castilla</t>
  </si>
  <si>
    <t>Piña *</t>
  </si>
  <si>
    <t>Tomate de árbol</t>
  </si>
  <si>
    <t>Tubérculos y plátanos</t>
  </si>
  <si>
    <t>Arracacha*</t>
  </si>
  <si>
    <t>Papa negra*</t>
  </si>
  <si>
    <t>Plátano hartón verde</t>
  </si>
  <si>
    <t>Yuca*</t>
  </si>
  <si>
    <t>SISTEMA DE INFORMACIÓN DE PRECIOS Y ABASTECIMIENTO DEL SECTOR AGROPECUARIO 
-SIPSA- 
PRECIOS MAYORISTAS</t>
  </si>
  <si>
    <t>Aguacate papelillo</t>
  </si>
  <si>
    <t>Var%: Variación porcentual con respecto al promedio del mes anterior. Dado que la variedad predominante en el mercado puede 
cambiar de un período a otro, las variaciones reportadas pueden obedecer a estos cambios, al igual que el mercado reportado en cada ciudad.</t>
  </si>
  <si>
    <t>Producto</t>
  </si>
  <si>
    <t>Manzana verde importada</t>
  </si>
  <si>
    <t>Papa criolla</t>
  </si>
  <si>
    <t>Var%: Variación porcentual en lo corrido del año</t>
  </si>
  <si>
    <t>Limón Tahití</t>
  </si>
  <si>
    <t>Papaya*</t>
  </si>
  <si>
    <t>Naranja*</t>
  </si>
  <si>
    <t>Fecha de actualización: 10 de enero de 2024</t>
  </si>
  <si>
    <t>Diciembre de 2023</t>
  </si>
  <si>
    <t>Variación mensual. Diciembre de 2023</t>
  </si>
  <si>
    <t>Variación año corrido. Diciembre de 2023</t>
  </si>
  <si>
    <t>-</t>
  </si>
  <si>
    <t>Uva red globe nacional</t>
  </si>
  <si>
    <t>Papa criolla limpia</t>
  </si>
  <si>
    <t>n.d.</t>
  </si>
  <si>
    <t>Granos, cárnicos y procesados</t>
  </si>
  <si>
    <t>Arroz de primera</t>
  </si>
  <si>
    <t>Arveja verde seca importada</t>
  </si>
  <si>
    <t>Fríjol seco*</t>
  </si>
  <si>
    <t>Garbanzo importado</t>
  </si>
  <si>
    <t>Lenteja importada</t>
  </si>
  <si>
    <t>Maíz blanco trillado</t>
  </si>
  <si>
    <t>Huevo tipo AA**</t>
  </si>
  <si>
    <t>Queso costeño</t>
  </si>
  <si>
    <t>Carne de cerdo, pernil sin hueso</t>
  </si>
  <si>
    <t>Carne de res, lomo fino</t>
  </si>
  <si>
    <t>Pechuga de pollo</t>
  </si>
  <si>
    <t>Aceite vegetal mezcla**</t>
  </si>
  <si>
    <t>Azúcar sulfitada</t>
  </si>
  <si>
    <t>Galletas saladas</t>
  </si>
  <si>
    <t>Harina de trigo</t>
  </si>
  <si>
    <t>Harina precocida de maíz</t>
  </si>
  <si>
    <t>Jugo instantáneo (sobre)</t>
  </si>
  <si>
    <t>Lomitos de atún en lata</t>
  </si>
  <si>
    <t>Margarina</t>
  </si>
  <si>
    <t>Panela*</t>
  </si>
  <si>
    <t>Pastas alimenticias</t>
  </si>
  <si>
    <t>Salsa de tomate doy pack</t>
  </si>
  <si>
    <t>Sardinas en 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</si>
</sst>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(* #,##0_);_(* \(#,##0\);_(* &quot;-&quot;??_);_(@_)"/>
  </numFmts>
  <fonts count="32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4" applyNumberFormat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28" borderId="0" applyNumberFormat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29" borderId="0" applyNumberFormat="0" applyBorder="0" applyAlignment="0" applyProtection="0"/>
    <xf numFmtId="0" fontId="6" fillId="0" borderId="0"/>
    <xf numFmtId="0" fontId="6" fillId="30" borderId="6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20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17" fillId="0" borderId="0" xfId="0" applyFont="1"/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/>
    <xf numFmtId="167" fontId="21" fillId="0" borderId="2" xfId="33" applyNumberFormat="1" applyFont="1" applyFill="1" applyBorder="1" applyAlignment="1">
      <alignment horizontal="center"/>
    </xf>
    <xf numFmtId="167" fontId="24" fillId="0" borderId="0" xfId="33" applyNumberFormat="1" applyFont="1" applyAlignment="1">
      <alignment horizontal="right"/>
    </xf>
    <xf numFmtId="2" fontId="24" fillId="0" borderId="0" xfId="33" applyNumberFormat="1" applyFont="1" applyAlignment="1">
      <alignment horizontal="right"/>
    </xf>
    <xf numFmtId="0" fontId="22" fillId="0" borderId="0" xfId="0" applyFont="1"/>
    <xf numFmtId="0" fontId="20" fillId="31" borderId="0" xfId="0" applyFont="1" applyFill="1"/>
    <xf numFmtId="0" fontId="28" fillId="31" borderId="0" xfId="0" applyFont="1" applyFill="1" applyAlignment="1">
      <alignment vertical="center"/>
    </xf>
    <xf numFmtId="0" fontId="25" fillId="32" borderId="0" xfId="0" applyFont="1" applyFill="1"/>
    <xf numFmtId="0" fontId="20" fillId="32" borderId="0" xfId="0" applyFont="1" applyFill="1"/>
    <xf numFmtId="0" fontId="19" fillId="31" borderId="0" xfId="0" applyFont="1" applyFill="1"/>
    <xf numFmtId="0" fontId="25" fillId="31" borderId="0" xfId="0" applyFont="1" applyFill="1"/>
    <xf numFmtId="0" fontId="23" fillId="0" borderId="0" xfId="0" applyFont="1"/>
    <xf numFmtId="0" fontId="17" fillId="0" borderId="0" xfId="0" applyFont="1" applyAlignment="1">
      <alignment horizontal="right"/>
    </xf>
    <xf numFmtId="0" fontId="19" fillId="33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0" fontId="2" fillId="31" borderId="0" xfId="31" quotePrefix="1" applyFill="1" applyBorder="1" applyAlignment="1" applyProtection="1">
      <alignment vertical="center"/>
    </xf>
    <xf numFmtId="4" fontId="21" fillId="0" borderId="2" xfId="33" applyNumberFormat="1" applyFont="1" applyFill="1" applyBorder="1" applyAlignment="1">
      <alignment horizontal="center"/>
    </xf>
    <xf numFmtId="0" fontId="23" fillId="33" borderId="0" xfId="36" applyFont="1" applyFill="1"/>
    <xf numFmtId="3" fontId="24" fillId="33" borderId="0" xfId="34" applyNumberFormat="1" applyFont="1" applyFill="1" applyBorder="1" applyAlignment="1">
      <alignment horizontal="right"/>
    </xf>
    <xf numFmtId="3" fontId="24" fillId="33" borderId="0" xfId="34" applyNumberFormat="1" applyFont="1" applyFill="1" applyBorder="1" applyAlignment="1">
      <alignment horizontal="right" vertical="center"/>
    </xf>
    <xf numFmtId="0" fontId="23" fillId="0" borderId="0" xfId="36" applyFont="1"/>
    <xf numFmtId="3" fontId="24" fillId="0" borderId="0" xfId="34" applyNumberFormat="1" applyFont="1" applyFill="1" applyBorder="1" applyAlignment="1">
      <alignment horizontal="right"/>
    </xf>
    <xf numFmtId="3" fontId="24" fillId="0" borderId="0" xfId="34" applyNumberFormat="1" applyFont="1" applyFill="1" applyBorder="1" applyAlignment="1">
      <alignment horizontal="right" vertical="center"/>
    </xf>
    <xf numFmtId="3" fontId="24" fillId="33" borderId="0" xfId="34" applyNumberFormat="1" applyFont="1" applyFill="1" applyBorder="1" applyAlignment="1">
      <alignment horizontal="center" vertical="center"/>
    </xf>
    <xf numFmtId="3" fontId="24" fillId="0" borderId="0" xfId="34" applyNumberFormat="1" applyFont="1" applyFill="1" applyBorder="1" applyAlignment="1">
      <alignment horizontal="right" vertical="justify"/>
    </xf>
    <xf numFmtId="3" fontId="24" fillId="0" borderId="0" xfId="34" applyNumberFormat="1" applyFont="1" applyFill="1" applyBorder="1" applyAlignment="1">
      <alignment horizontal="center" vertical="center"/>
    </xf>
    <xf numFmtId="0" fontId="23" fillId="0" borderId="2" xfId="36" applyFont="1" applyBorder="1"/>
    <xf numFmtId="3" fontId="24" fillId="0" borderId="2" xfId="34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0" fontId="23" fillId="33" borderId="0" xfId="0" applyFont="1" applyFill="1"/>
    <xf numFmtId="3" fontId="24" fillId="33" borderId="0" xfId="0" applyNumberFormat="1" applyFont="1" applyFill="1" applyAlignment="1">
      <alignment horizontal="right"/>
    </xf>
    <xf numFmtId="167" fontId="24" fillId="0" borderId="0" xfId="34" applyNumberFormat="1" applyFont="1" applyFill="1" applyBorder="1" applyAlignment="1">
      <alignment horizontal="right"/>
    </xf>
    <xf numFmtId="2" fontId="24" fillId="0" borderId="0" xfId="34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 vertical="center"/>
    </xf>
    <xf numFmtId="0" fontId="20" fillId="0" borderId="0" xfId="36" applyFont="1"/>
    <xf numFmtId="167" fontId="24" fillId="0" borderId="0" xfId="34" applyNumberFormat="1" applyFont="1" applyAlignment="1">
      <alignment horizontal="right"/>
    </xf>
    <xf numFmtId="2" fontId="24" fillId="0" borderId="0" xfId="34" applyNumberFormat="1" applyFont="1" applyAlignment="1">
      <alignment horizontal="right"/>
    </xf>
    <xf numFmtId="0" fontId="23" fillId="0" borderId="0" xfId="36" applyFont="1" applyAlignment="1">
      <alignment vertical="center"/>
    </xf>
    <xf numFmtId="0" fontId="23" fillId="0" borderId="0" xfId="36" applyFont="1" applyAlignment="1">
      <alignment horizontal="right"/>
    </xf>
    <xf numFmtId="2" fontId="23" fillId="0" borderId="0" xfId="34" applyNumberFormat="1" applyFont="1" applyFill="1" applyAlignment="1">
      <alignment horizontal="right"/>
    </xf>
    <xf numFmtId="167" fontId="21" fillId="0" borderId="0" xfId="34" applyNumberFormat="1" applyFont="1" applyFill="1" applyAlignment="1">
      <alignment horizontal="right"/>
    </xf>
    <xf numFmtId="167" fontId="23" fillId="0" borderId="0" xfId="34" applyNumberFormat="1" applyFont="1" applyFill="1" applyAlignment="1">
      <alignment horizontal="right"/>
    </xf>
    <xf numFmtId="2" fontId="21" fillId="0" borderId="0" xfId="34" applyNumberFormat="1" applyFont="1" applyFill="1" applyAlignment="1">
      <alignment horizontal="right"/>
    </xf>
    <xf numFmtId="0" fontId="24" fillId="0" borderId="0" xfId="36" applyFont="1"/>
    <xf numFmtId="0" fontId="17" fillId="0" borderId="0" xfId="43" applyFont="1"/>
    <xf numFmtId="0" fontId="19" fillId="33" borderId="0" xfId="43" applyFont="1" applyFill="1" applyAlignment="1">
      <alignment vertical="center"/>
    </xf>
    <xf numFmtId="0" fontId="29" fillId="33" borderId="0" xfId="43" applyFont="1" applyFill="1" applyAlignment="1">
      <alignment vertical="center" wrapText="1"/>
    </xf>
    <xf numFmtId="0" fontId="29" fillId="0" borderId="1" xfId="43" applyFont="1" applyBorder="1" applyAlignment="1">
      <alignment horizontal="center" vertical="center"/>
    </xf>
    <xf numFmtId="10" fontId="29" fillId="0" borderId="1" xfId="44" applyNumberFormat="1" applyFont="1" applyFill="1" applyBorder="1" applyAlignment="1">
      <alignment horizontal="center"/>
    </xf>
    <xf numFmtId="10" fontId="30" fillId="0" borderId="1" xfId="44" applyNumberFormat="1" applyFont="1" applyFill="1" applyBorder="1" applyAlignment="1">
      <alignment horizontal="center"/>
    </xf>
    <xf numFmtId="0" fontId="20" fillId="0" borderId="0" xfId="43" applyFont="1"/>
    <xf numFmtId="0" fontId="29" fillId="33" borderId="0" xfId="43" applyFont="1" applyFill="1" applyAlignment="1">
      <alignment horizontal="centerContinuous"/>
    </xf>
    <xf numFmtId="4" fontId="31" fillId="0" borderId="0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justify"/>
    </xf>
    <xf numFmtId="4" fontId="31" fillId="0" borderId="0" xfId="33" applyNumberFormat="1" applyFont="1" applyFill="1" applyBorder="1" applyAlignment="1">
      <alignment horizontal="right" vertical="center"/>
    </xf>
    <xf numFmtId="4" fontId="31" fillId="33" borderId="2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center"/>
    </xf>
    <xf numFmtId="4" fontId="31" fillId="0" borderId="0" xfId="33" applyNumberFormat="1" applyFont="1" applyFill="1" applyBorder="1" applyAlignment="1" applyProtection="1">
      <alignment horizontal="right"/>
    </xf>
    <xf numFmtId="4" fontId="31" fillId="33" borderId="2" xfId="33" applyNumberFormat="1" applyFont="1" applyFill="1" applyBorder="1" applyAlignment="1">
      <alignment horizontal="right" vertical="center"/>
    </xf>
    <xf numFmtId="4" fontId="31" fillId="0" borderId="2" xfId="33" applyNumberFormat="1" applyFont="1" applyFill="1" applyBorder="1" applyAlignment="1">
      <alignment horizontal="right"/>
    </xf>
    <xf numFmtId="0" fontId="23" fillId="0" borderId="0" xfId="43" applyFont="1"/>
    <xf numFmtId="10" fontId="17" fillId="0" borderId="0" xfId="45" applyNumberFormat="1" applyFont="1" applyFill="1" applyAlignment="1">
      <alignment horizontal="right"/>
    </xf>
    <xf numFmtId="10" fontId="29" fillId="0" borderId="0" xfId="45" applyNumberFormat="1" applyFont="1" applyFill="1" applyAlignment="1">
      <alignment horizontal="right"/>
    </xf>
    <xf numFmtId="0" fontId="23" fillId="0" borderId="0" xfId="43" applyFont="1" applyAlignment="1">
      <alignment vertical="center"/>
    </xf>
    <xf numFmtId="0" fontId="23" fillId="0" borderId="0" xfId="43" applyFont="1" applyAlignment="1">
      <alignment horizontal="left"/>
    </xf>
    <xf numFmtId="0" fontId="24" fillId="0" borderId="0" xfId="43" applyFont="1"/>
    <xf numFmtId="10" fontId="24" fillId="0" borderId="0" xfId="45" applyNumberFormat="1" applyFont="1" applyAlignment="1">
      <alignment horizontal="right"/>
    </xf>
    <xf numFmtId="0" fontId="22" fillId="0" borderId="0" xfId="43" applyFont="1"/>
    <xf numFmtId="167" fontId="24" fillId="33" borderId="0" xfId="33" applyNumberFormat="1" applyFont="1" applyFill="1" applyBorder="1" applyAlignment="1">
      <alignment horizontal="center" vertical="center"/>
    </xf>
    <xf numFmtId="0" fontId="24" fillId="3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4" fontId="31" fillId="33" borderId="2" xfId="33" applyNumberFormat="1" applyFont="1" applyFill="1" applyBorder="1" applyAlignment="1">
      <alignment horizontal="right" vertical="justify"/>
    </xf>
    <xf numFmtId="0" fontId="24" fillId="33" borderId="0" xfId="34" applyNumberFormat="1" applyFont="1" applyFill="1" applyBorder="1" applyAlignment="1">
      <alignment horizontal="right" vertical="center"/>
    </xf>
    <xf numFmtId="4" fontId="24" fillId="33" borderId="0" xfId="34" applyNumberFormat="1" applyFont="1" applyFill="1" applyBorder="1" applyAlignment="1">
      <alignment horizontal="right"/>
    </xf>
    <xf numFmtId="4" fontId="24" fillId="33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/>
    </xf>
    <xf numFmtId="4" fontId="24" fillId="0" borderId="2" xfId="34" applyNumberFormat="1" applyFont="1" applyFill="1" applyBorder="1" applyAlignment="1">
      <alignment horizontal="right"/>
    </xf>
    <xf numFmtId="4" fontId="24" fillId="0" borderId="0" xfId="34" applyNumberFormat="1" applyFont="1" applyFill="1" applyBorder="1" applyAlignment="1">
      <alignment horizontal="right" vertical="justify"/>
    </xf>
    <xf numFmtId="4" fontId="24" fillId="33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33" borderId="0" xfId="0" applyNumberFormat="1" applyFont="1" applyFill="1" applyAlignment="1">
      <alignment horizontal="right" vertical="center"/>
    </xf>
    <xf numFmtId="4" fontId="24" fillId="0" borderId="0" xfId="0" applyNumberFormat="1" applyFont="1" applyAlignment="1">
      <alignment horizontal="right" vertical="center"/>
    </xf>
    <xf numFmtId="0" fontId="20" fillId="0" borderId="0" xfId="36" applyFont="1" applyAlignment="1">
      <alignment horizontal="right"/>
    </xf>
    <xf numFmtId="3" fontId="24" fillId="0" borderId="2" xfId="34" applyNumberFormat="1" applyFont="1" applyFill="1" applyBorder="1" applyAlignment="1">
      <alignment horizontal="center" vertical="center"/>
    </xf>
    <xf numFmtId="3" fontId="24" fillId="0" borderId="2" xfId="34" applyNumberFormat="1" applyFont="1" applyFill="1" applyBorder="1" applyAlignment="1">
      <alignment horizontal="right" vertical="center"/>
    </xf>
    <xf numFmtId="3" fontId="24" fillId="33" borderId="0" xfId="0" applyNumberFormat="1" applyFont="1" applyFill="1" applyAlignment="1">
      <alignment horizontal="center" vertical="center"/>
    </xf>
    <xf numFmtId="0" fontId="17" fillId="33" borderId="0" xfId="0" applyFont="1" applyFill="1"/>
    <xf numFmtId="0" fontId="17" fillId="33" borderId="2" xfId="0" applyFont="1" applyFill="1" applyBorder="1"/>
    <xf numFmtId="0" fontId="17" fillId="0" borderId="2" xfId="0" applyFont="1" applyBorder="1"/>
    <xf numFmtId="0" fontId="17" fillId="0" borderId="0" xfId="36" applyFont="1"/>
    <xf numFmtId="0" fontId="24" fillId="0" borderId="0" xfId="34" applyNumberFormat="1" applyFont="1" applyFill="1" applyBorder="1" applyAlignment="1">
      <alignment horizontal="right"/>
    </xf>
    <xf numFmtId="0" fontId="20" fillId="31" borderId="0" xfId="36" applyFont="1" applyFill="1"/>
    <xf numFmtId="0" fontId="24" fillId="33" borderId="0" xfId="0" applyFont="1" applyFill="1" applyAlignment="1">
      <alignment horizontal="right" vertical="center"/>
    </xf>
    <xf numFmtId="3" fontId="24" fillId="33" borderId="0" xfId="34" applyNumberFormat="1" applyFont="1" applyFill="1" applyBorder="1" applyAlignment="1">
      <alignment horizontal="right" vertical="justify"/>
    </xf>
    <xf numFmtId="4" fontId="24" fillId="33" borderId="0" xfId="34" applyNumberFormat="1" applyFont="1" applyFill="1" applyBorder="1" applyAlignment="1">
      <alignment horizontal="right" vertical="justify"/>
    </xf>
    <xf numFmtId="3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4" fontId="24" fillId="0" borderId="2" xfId="34" applyNumberFormat="1" applyFont="1" applyFill="1" applyBorder="1" applyAlignment="1">
      <alignment horizontal="right" vertical="center"/>
    </xf>
    <xf numFmtId="3" fontId="24" fillId="0" borderId="0" xfId="34" applyNumberFormat="1" applyFont="1" applyFill="1" applyBorder="1" applyAlignment="1">
      <alignment horizontal="center" vertical="justify"/>
    </xf>
    <xf numFmtId="3" fontId="24" fillId="0" borderId="0" xfId="0" applyNumberFormat="1" applyFont="1" applyAlignment="1">
      <alignment horizontal="center"/>
    </xf>
    <xf numFmtId="3" fontId="24" fillId="33" borderId="0" xfId="0" applyNumberFormat="1" applyFont="1" applyFill="1" applyAlignment="1">
      <alignment horizontal="center"/>
    </xf>
    <xf numFmtId="3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center"/>
    </xf>
    <xf numFmtId="2" fontId="24" fillId="33" borderId="0" xfId="34" applyNumberFormat="1" applyFont="1" applyFill="1" applyBorder="1" applyAlignment="1">
      <alignment horizontal="center" vertical="center"/>
    </xf>
    <xf numFmtId="2" fontId="24" fillId="0" borderId="0" xfId="34" applyNumberFormat="1" applyFont="1" applyFill="1" applyBorder="1" applyAlignment="1">
      <alignment horizontal="center" vertical="center"/>
    </xf>
    <xf numFmtId="2" fontId="24" fillId="0" borderId="2" xfId="34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3" fontId="24" fillId="33" borderId="0" xfId="0" applyNumberFormat="1" applyFont="1" applyFill="1" applyAlignment="1">
      <alignment horizontal="right" vertical="center"/>
    </xf>
    <xf numFmtId="0" fontId="21" fillId="33" borderId="3" xfId="0" applyFont="1" applyFill="1" applyBorder="1" applyAlignment="1">
      <alignment horizontal="centerContinuous"/>
    </xf>
    <xf numFmtId="4" fontId="21" fillId="33" borderId="3" xfId="0" applyNumberFormat="1" applyFont="1" applyFill="1" applyBorder="1" applyAlignment="1">
      <alignment horizontal="centerContinuous"/>
    </xf>
    <xf numFmtId="0" fontId="21" fillId="32" borderId="9" xfId="0" applyFont="1" applyFill="1" applyBorder="1" applyAlignment="1">
      <alignment horizontal="centerContinuous"/>
    </xf>
    <xf numFmtId="0" fontId="21" fillId="32" borderId="1" xfId="0" applyFont="1" applyFill="1" applyBorder="1" applyAlignment="1">
      <alignment horizontal="centerContinuous"/>
    </xf>
    <xf numFmtId="4" fontId="21" fillId="32" borderId="1" xfId="0" applyNumberFormat="1" applyFont="1" applyFill="1" applyBorder="1" applyAlignment="1">
      <alignment horizontal="centerContinuous"/>
    </xf>
    <xf numFmtId="4" fontId="31" fillId="33" borderId="0" xfId="33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right" vertical="center"/>
    </xf>
    <xf numFmtId="4" fontId="31" fillId="0" borderId="0" xfId="33" applyNumberFormat="1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right" vertical="center"/>
    </xf>
    <xf numFmtId="4" fontId="31" fillId="33" borderId="0" xfId="33" applyNumberFormat="1" applyFont="1" applyFill="1" applyBorder="1" applyAlignment="1" applyProtection="1">
      <alignment horizontal="center" vertical="center"/>
    </xf>
    <xf numFmtId="4" fontId="31" fillId="33" borderId="0" xfId="33" applyNumberFormat="1" applyFont="1" applyFill="1" applyBorder="1" applyAlignment="1" applyProtection="1">
      <alignment horizontal="right" vertical="center"/>
    </xf>
    <xf numFmtId="4" fontId="31" fillId="0" borderId="0" xfId="33" applyNumberFormat="1" applyFont="1" applyFill="1" applyBorder="1" applyAlignment="1" applyProtection="1">
      <alignment horizontal="center" vertical="center"/>
    </xf>
    <xf numFmtId="4" fontId="31" fillId="33" borderId="0" xfId="33" applyNumberFormat="1" applyFont="1" applyFill="1" applyBorder="1" applyAlignment="1" applyProtection="1">
      <alignment horizontal="right" vertical="justify"/>
    </xf>
    <xf numFmtId="4" fontId="31" fillId="0" borderId="0" xfId="33" applyNumberFormat="1" applyFont="1" applyFill="1" applyBorder="1" applyAlignment="1" applyProtection="1">
      <alignment horizontal="right" vertical="center"/>
    </xf>
    <xf numFmtId="0" fontId="24" fillId="0" borderId="0" xfId="0" applyFont="1"/>
    <xf numFmtId="164" fontId="24" fillId="0" borderId="0" xfId="34" applyFont="1" applyFill="1" applyBorder="1" applyAlignment="1">
      <alignment horizontal="right"/>
    </xf>
    <xf numFmtId="164" fontId="24" fillId="0" borderId="0" xfId="34" applyFont="1" applyAlignment="1">
      <alignment horizontal="right"/>
    </xf>
    <xf numFmtId="0" fontId="24" fillId="0" borderId="0" xfId="34" applyNumberFormat="1" applyFont="1" applyFill="1" applyBorder="1" applyAlignment="1">
      <alignment horizontal="center" vertical="center"/>
    </xf>
    <xf numFmtId="3" fontId="24" fillId="0" borderId="0" xfId="34" applyNumberFormat="1" applyFont="1" applyFill="1" applyBorder="1" applyAlignment="1">
      <alignment horizontal="center"/>
    </xf>
    <xf numFmtId="0" fontId="23" fillId="0" borderId="2" xfId="0" applyFont="1" applyBorder="1"/>
    <xf numFmtId="3" fontId="24" fillId="0" borderId="2" xfId="0" applyNumberFormat="1" applyFont="1" applyBorder="1" applyAlignment="1">
      <alignment horizontal="right"/>
    </xf>
    <xf numFmtId="4" fontId="24" fillId="0" borderId="2" xfId="0" applyNumberFormat="1" applyFont="1" applyBorder="1" applyAlignment="1">
      <alignment horizontal="right"/>
    </xf>
    <xf numFmtId="3" fontId="24" fillId="0" borderId="2" xfId="0" applyNumberFormat="1" applyFont="1" applyBorder="1" applyAlignment="1">
      <alignment horizontal="right" vertical="center"/>
    </xf>
    <xf numFmtId="4" fontId="24" fillId="0" borderId="2" xfId="0" applyNumberFormat="1" applyFont="1" applyBorder="1" applyAlignment="1">
      <alignment horizontal="right" vertical="center"/>
    </xf>
    <xf numFmtId="3" fontId="24" fillId="0" borderId="2" xfId="0" applyNumberFormat="1" applyFont="1" applyBorder="1" applyAlignment="1">
      <alignment horizontal="center"/>
    </xf>
    <xf numFmtId="2" fontId="24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right" vertical="center"/>
    </xf>
    <xf numFmtId="4" fontId="24" fillId="0" borderId="2" xfId="34" applyNumberFormat="1" applyFont="1" applyFill="1" applyBorder="1" applyAlignment="1">
      <alignment horizontal="center"/>
    </xf>
    <xf numFmtId="4" fontId="29" fillId="33" borderId="0" xfId="33" applyNumberFormat="1" applyFont="1" applyFill="1" applyBorder="1" applyAlignment="1">
      <alignment horizontal="right"/>
    </xf>
    <xf numFmtId="0" fontId="27" fillId="32" borderId="0" xfId="0" applyFont="1" applyFill="1" applyAlignment="1">
      <alignment horizontal="center" vertical="center" wrapText="1"/>
    </xf>
    <xf numFmtId="0" fontId="25" fillId="31" borderId="0" xfId="0" applyFont="1" applyFill="1" applyAlignment="1">
      <alignment horizontal="center"/>
    </xf>
    <xf numFmtId="0" fontId="26" fillId="34" borderId="0" xfId="0" applyFont="1" applyFill="1" applyAlignment="1">
      <alignment horizontal="center" vertical="center" wrapText="1"/>
    </xf>
    <xf numFmtId="0" fontId="23" fillId="0" borderId="0" xfId="36" applyFont="1" applyAlignment="1">
      <alignment horizontal="left" vertical="center" wrapText="1"/>
    </xf>
    <xf numFmtId="0" fontId="23" fillId="0" borderId="0" xfId="36" applyFont="1" applyAlignment="1">
      <alignment horizontal="left" vertical="center"/>
    </xf>
    <xf numFmtId="0" fontId="18" fillId="34" borderId="0" xfId="0" applyFont="1" applyFill="1" applyAlignment="1">
      <alignment horizontal="center" vertical="center" wrapText="1"/>
    </xf>
    <xf numFmtId="167" fontId="22" fillId="0" borderId="1" xfId="33" applyNumberFormat="1" applyFont="1" applyFill="1" applyBorder="1" applyAlignment="1">
      <alignment horizontal="center"/>
    </xf>
    <xf numFmtId="167" fontId="21" fillId="0" borderId="1" xfId="33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4" borderId="0" xfId="43" applyFont="1" applyFill="1" applyAlignment="1">
      <alignment horizontal="center" vertical="center" wrapText="1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2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1C000000}"/>
    <cellStyle name="Euro 2" xfId="30" xr:uid="{00000000-0005-0000-0000-00001D000000}"/>
    <cellStyle name="Hipervínculo" xfId="31" builtinId="8"/>
    <cellStyle name="Incorrecto" xfId="32" builtinId="27" customBuiltin="1"/>
    <cellStyle name="Millares" xfId="33" builtinId="3"/>
    <cellStyle name="Millares 2" xfId="34" xr:uid="{00000000-0005-0000-0000-000021000000}"/>
    <cellStyle name="Neutral" xfId="35" builtinId="28" customBuiltin="1"/>
    <cellStyle name="Normal" xfId="0" builtinId="0"/>
    <cellStyle name="Normal 2" xfId="36" xr:uid="{00000000-0005-0000-0000-000024000000}"/>
    <cellStyle name="Normal 3" xfId="43" xr:uid="{674C42A4-B064-4353-9D04-968834AD136F}"/>
    <cellStyle name="Notas 2" xfId="37" xr:uid="{00000000-0005-0000-0000-000025000000}"/>
    <cellStyle name="Porcentaje 2" xfId="38" xr:uid="{00000000-0005-0000-0000-000026000000}"/>
    <cellStyle name="Porcentaje 2 2" xfId="45" xr:uid="{D14C4C04-AF22-4D25-B65E-B19B91AE0366}"/>
    <cellStyle name="Porcentaje 3" xfId="39" xr:uid="{00000000-0005-0000-0000-000027000000}"/>
    <cellStyle name="Porcentaje 4" xfId="44" xr:uid="{CF6C299B-C562-4F38-84BF-B1724B9C16BA}"/>
    <cellStyle name="Salida 2" xfId="40" xr:uid="{00000000-0005-0000-0000-000029000000}"/>
    <cellStyle name="Título" xfId="41" builtinId="15" customBuiltin="1"/>
    <cellStyle name="Total" xfId="4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117923</xdr:colOff>
      <xdr:row>0</xdr:row>
      <xdr:rowOff>117922</xdr:rowOff>
    </xdr:from>
    <xdr:to>
      <xdr:col>11</xdr:col>
      <xdr:colOff>794799</xdr:colOff>
      <xdr:row>3</xdr:row>
      <xdr:rowOff>226786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46F869A5-040C-A07A-895E-A02D15904AB2}"/>
            </a:ext>
          </a:extLst>
        </xdr:cNvPr>
        <xdr:cNvGrpSpPr/>
      </xdr:nvGrpSpPr>
      <xdr:grpSpPr>
        <a:xfrm>
          <a:off x="117923" y="117922"/>
          <a:ext cx="9276590" cy="952507"/>
          <a:chOff x="117923" y="117922"/>
          <a:chExt cx="9276590" cy="952507"/>
        </a:xfrm>
      </xdr:grpSpPr>
      <xdr:pic>
        <xdr:nvPicPr>
          <xdr:cNvPr id="7" name="Imagen 12">
            <a:extLst>
              <a:ext uri="{FF2B5EF4-FFF2-40B4-BE49-F238E27FC236}">
                <a16:creationId xmlns:a16="http://schemas.microsoft.com/office/drawing/2014/main" id="{EC5C623D-E846-7844-B31F-7ED4E0C818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17">
            <a:extLst>
              <a:ext uri="{FF2B5EF4-FFF2-40B4-BE49-F238E27FC236}">
                <a16:creationId xmlns:a16="http://schemas.microsoft.com/office/drawing/2014/main" id="{6C708EB2-DBDC-7983-BB8E-AA47F03ADFF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17">
            <a:extLst>
              <a:ext uri="{FF2B5EF4-FFF2-40B4-BE49-F238E27FC236}">
                <a16:creationId xmlns:a16="http://schemas.microsoft.com/office/drawing/2014/main" id="{C2267695-EF5B-4C04-A0D5-31E4797E5AD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104588</xdr:colOff>
      <xdr:row>0</xdr:row>
      <xdr:rowOff>112058</xdr:rowOff>
    </xdr:from>
    <xdr:to>
      <xdr:col>16</xdr:col>
      <xdr:colOff>371649</xdr:colOff>
      <xdr:row>2</xdr:row>
      <xdr:rowOff>459447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9FB54041-51D8-4BD6-BBB9-7DD6309018B8}"/>
            </a:ext>
          </a:extLst>
        </xdr:cNvPr>
        <xdr:cNvGrpSpPr/>
      </xdr:nvGrpSpPr>
      <xdr:grpSpPr>
        <a:xfrm>
          <a:off x="104588" y="112058"/>
          <a:ext cx="9276590" cy="952507"/>
          <a:chOff x="117923" y="117922"/>
          <a:chExt cx="9276590" cy="952507"/>
        </a:xfrm>
      </xdr:grpSpPr>
      <xdr:pic>
        <xdr:nvPicPr>
          <xdr:cNvPr id="6" name="Imagen 12">
            <a:extLst>
              <a:ext uri="{FF2B5EF4-FFF2-40B4-BE49-F238E27FC236}">
                <a16:creationId xmlns:a16="http://schemas.microsoft.com/office/drawing/2014/main" id="{5A36D389-2E3D-D7C7-A7A3-BBD70601280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" name="Imagen 17">
            <a:extLst>
              <a:ext uri="{FF2B5EF4-FFF2-40B4-BE49-F238E27FC236}">
                <a16:creationId xmlns:a16="http://schemas.microsoft.com/office/drawing/2014/main" id="{3DED9682-B4FD-F0E7-2B10-7115A8D1CCC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C603BE59-7FB2-9130-FC01-28DCC9F625D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82550</xdr:rowOff>
    </xdr:from>
    <xdr:to>
      <xdr:col>9</xdr:col>
      <xdr:colOff>31750</xdr:colOff>
      <xdr:row>2</xdr:row>
      <xdr:rowOff>231605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4AD5341D-277B-4E5A-A250-7FF3DAB63E31}"/>
            </a:ext>
          </a:extLst>
        </xdr:cNvPr>
        <xdr:cNvGrpSpPr>
          <a:grpSpLocks noChangeAspect="1"/>
        </xdr:cNvGrpSpPr>
      </xdr:nvGrpSpPr>
      <xdr:grpSpPr>
        <a:xfrm>
          <a:off x="25400" y="82550"/>
          <a:ext cx="7744279" cy="793126"/>
          <a:chOff x="117923" y="117922"/>
          <a:chExt cx="9276590" cy="952507"/>
        </a:xfrm>
      </xdr:grpSpPr>
      <xdr:pic>
        <xdr:nvPicPr>
          <xdr:cNvPr id="8" name="Imagen 12">
            <a:extLst>
              <a:ext uri="{FF2B5EF4-FFF2-40B4-BE49-F238E27FC236}">
                <a16:creationId xmlns:a16="http://schemas.microsoft.com/office/drawing/2014/main" id="{2EED3DA3-D9D1-F5AC-8C3F-95B31FE8E9D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17">
            <a:extLst>
              <a:ext uri="{FF2B5EF4-FFF2-40B4-BE49-F238E27FC236}">
                <a16:creationId xmlns:a16="http://schemas.microsoft.com/office/drawing/2014/main" id="{A10EFA9F-8DCD-3A34-28E2-39F02B0C08A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" name="Imagen 17">
            <a:extLst>
              <a:ext uri="{FF2B5EF4-FFF2-40B4-BE49-F238E27FC236}">
                <a16:creationId xmlns:a16="http://schemas.microsoft.com/office/drawing/2014/main" id="{E8063692-60C0-AB45-F120-E52658D44A3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8"/>
  <sheetViews>
    <sheetView showGridLines="0" zoomScale="70" zoomScaleNormal="70" workbookViewId="0">
      <selection activeCell="G14" sqref="G14"/>
    </sheetView>
  </sheetViews>
  <sheetFormatPr baseColWidth="10" defaultColWidth="11.453125" defaultRowHeight="16" x14ac:dyDescent="0.45"/>
  <cols>
    <col min="1" max="1" width="6.26953125" style="14" customWidth="1"/>
    <col min="2" max="2" width="11.453125" style="9"/>
    <col min="3" max="3" width="14" style="9" customWidth="1"/>
    <col min="4" max="16384" width="11.453125" style="9"/>
  </cols>
  <sheetData>
    <row r="1" spans="1:14" ht="22" customHeight="1" x14ac:dyDescent="0.45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2" spans="1:14" ht="22" customHeight="1" x14ac:dyDescent="0.45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</row>
    <row r="3" spans="1:14" ht="22" customHeight="1" x14ac:dyDescent="0.4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N3" s="4"/>
    </row>
    <row r="4" spans="1:14" ht="22" customHeight="1" x14ac:dyDescent="0.45">
      <c r="A4" s="145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</row>
    <row r="5" spans="1:14" ht="36" customHeight="1" x14ac:dyDescent="0.45">
      <c r="A5" s="146" t="s">
        <v>47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</row>
    <row r="6" spans="1:14" ht="31.5" customHeight="1" x14ac:dyDescent="0.45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</row>
    <row r="7" spans="1:14" x14ac:dyDescent="0.45">
      <c r="A7" s="144" t="s">
        <v>58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</row>
    <row r="8" spans="1:14" ht="15" customHeight="1" x14ac:dyDescent="0.45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</row>
    <row r="9" spans="1:14" x14ac:dyDescent="0.45">
      <c r="A9" s="144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</row>
    <row r="10" spans="1:14" s="10" customFormat="1" ht="31.5" customHeight="1" x14ac:dyDescent="0.25">
      <c r="A10" s="19" t="str">
        <f>+"Anexo 1. "&amp;'Anexo 1'!A6&amp;" "&amp;'Anexo 1'!A7</f>
        <v>Anexo 1. Comportamiento de los precios mayoristas de los principales alimentos en las principales ocho ciudades. Variación mensual. Diciembre de 2023</v>
      </c>
    </row>
    <row r="11" spans="1:14" s="10" customFormat="1" ht="31.5" customHeight="1" x14ac:dyDescent="0.25">
      <c r="A11" s="19" t="str">
        <f>+"Anexo 2. "&amp;'Anexo 2'!A6&amp;" "&amp;'Anexo 2'!A7</f>
        <v>Anexo 2. Comportamiento de los precios mayoristas de los principales alimentos en las principales ocho ciudades. Variación año corrido. Diciembre de 2023</v>
      </c>
    </row>
    <row r="12" spans="1:14" x14ac:dyDescent="0.4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4" ht="18.75" customHeight="1" x14ac:dyDescent="0.45">
      <c r="A13" s="13" t="s">
        <v>57</v>
      </c>
    </row>
    <row r="14" spans="1:14" s="4" customFormat="1" ht="30" customHeight="1" x14ac:dyDescent="0.45"/>
    <row r="15" spans="1:14" s="4" customFormat="1" ht="32.25" customHeight="1" x14ac:dyDescent="0.45"/>
    <row r="16" spans="1:14" s="4" customFormat="1" ht="34.5" customHeight="1" x14ac:dyDescent="0.45"/>
    <row r="17" spans="1:1" s="4" customFormat="1" x14ac:dyDescent="0.45"/>
    <row r="18" spans="1:1" x14ac:dyDescent="0.45">
      <c r="A18" s="9"/>
    </row>
  </sheetData>
  <mergeCells count="3">
    <mergeCell ref="A7:L9"/>
    <mergeCell ref="A1:L4"/>
    <mergeCell ref="A5:L6"/>
  </mergeCells>
  <phoneticPr fontId="3" type="noConversion"/>
  <hyperlinks>
    <hyperlink ref="A10" location="'Anexo 1'!A1" display="'Anexo 1'!A1" xr:uid="{00000000-0004-0000-0000-000000000000}"/>
    <hyperlink ref="A11" location="'Anexo 1'!A1" display="'Anexo 1'!A1" xr:uid="{549AA18A-F416-4462-A600-6B2E456340C2}"/>
  </hyperlink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9"/>
  <sheetViews>
    <sheetView showGridLines="0" topLeftCell="A46" zoomScale="85" zoomScaleNormal="85" workbookViewId="0">
      <selection activeCell="O23" sqref="O23"/>
    </sheetView>
  </sheetViews>
  <sheetFormatPr baseColWidth="10" defaultColWidth="11.453125" defaultRowHeight="16" x14ac:dyDescent="0.45"/>
  <cols>
    <col min="1" max="1" width="24.453125" style="4" customWidth="1"/>
    <col min="2" max="2" width="7.1796875" style="4" customWidth="1"/>
    <col min="3" max="3" width="6.7265625" style="18" customWidth="1"/>
    <col min="4" max="4" width="7.1796875" style="4" customWidth="1"/>
    <col min="5" max="5" width="6.7265625" style="18" customWidth="1"/>
    <col min="6" max="6" width="7.1796875" style="4" customWidth="1"/>
    <col min="7" max="7" width="6.7265625" style="18" customWidth="1"/>
    <col min="8" max="8" width="7.1796875" style="4" customWidth="1"/>
    <col min="9" max="9" width="6.7265625" style="18" customWidth="1"/>
    <col min="10" max="10" width="7.1796875" style="4" customWidth="1"/>
    <col min="11" max="11" width="6.7265625" style="18" customWidth="1"/>
    <col min="12" max="12" width="7.1796875" style="4" customWidth="1"/>
    <col min="13" max="13" width="6.7265625" style="18" customWidth="1"/>
    <col min="14" max="14" width="7.1796875" style="4" customWidth="1"/>
    <col min="15" max="15" width="6.7265625" style="18" customWidth="1"/>
    <col min="16" max="16" width="7.1796875" style="4" customWidth="1"/>
    <col min="17" max="17" width="6.7265625" style="18" customWidth="1"/>
    <col min="18" max="16384" width="11.453125" style="4"/>
  </cols>
  <sheetData>
    <row r="1" spans="1:17" s="1" customFormat="1" ht="14" x14ac:dyDescent="0.4">
      <c r="C1" s="16"/>
      <c r="E1" s="16"/>
      <c r="G1" s="16"/>
      <c r="I1" s="16"/>
      <c r="K1" s="16"/>
      <c r="M1" s="16"/>
      <c r="O1" s="16"/>
      <c r="Q1" s="16"/>
    </row>
    <row r="2" spans="1:17" s="1" customFormat="1" ht="33.75" customHeight="1" x14ac:dyDescent="0.4">
      <c r="C2" s="16"/>
      <c r="E2" s="16"/>
      <c r="G2" s="16"/>
      <c r="I2" s="16"/>
      <c r="K2" s="16"/>
      <c r="M2" s="16"/>
      <c r="O2" s="16"/>
      <c r="Q2" s="16"/>
    </row>
    <row r="3" spans="1:17" s="1" customFormat="1" ht="40.5" customHeight="1" x14ac:dyDescent="0.4">
      <c r="C3" s="16"/>
      <c r="E3" s="16"/>
      <c r="G3" s="16"/>
      <c r="I3" s="16"/>
      <c r="K3" s="16"/>
      <c r="M3" s="16"/>
      <c r="O3" s="16"/>
      <c r="Q3" s="16"/>
    </row>
    <row r="4" spans="1:17" s="1" customFormat="1" ht="18.75" customHeight="1" x14ac:dyDescent="0.4">
      <c r="A4" s="149" t="s">
        <v>0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</row>
    <row r="5" spans="1:17" s="1" customFormat="1" ht="24" customHeight="1" x14ac:dyDescent="0.4">
      <c r="A5" s="149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</row>
    <row r="6" spans="1:17" ht="18.75" customHeight="1" x14ac:dyDescent="0.45">
      <c r="A6" s="2" t="s">
        <v>16</v>
      </c>
      <c r="B6" s="3"/>
      <c r="C6" s="17"/>
      <c r="D6" s="3"/>
      <c r="E6" s="17"/>
      <c r="F6" s="3"/>
      <c r="G6" s="17"/>
      <c r="H6" s="3"/>
      <c r="I6" s="17"/>
      <c r="J6" s="3"/>
      <c r="K6" s="17"/>
      <c r="L6" s="3"/>
      <c r="M6" s="17"/>
      <c r="N6" s="3"/>
      <c r="O6" s="17"/>
      <c r="P6" s="3"/>
      <c r="Q6" s="17"/>
    </row>
    <row r="7" spans="1:17" ht="19.5" customHeight="1" x14ac:dyDescent="0.45">
      <c r="A7" s="2" t="s">
        <v>59</v>
      </c>
      <c r="B7" s="3"/>
      <c r="C7" s="17"/>
      <c r="D7" s="3"/>
      <c r="E7" s="17"/>
      <c r="F7" s="3"/>
      <c r="G7" s="17"/>
      <c r="H7" s="3"/>
      <c r="I7" s="17"/>
      <c r="J7" s="3"/>
      <c r="K7" s="17"/>
      <c r="L7" s="3"/>
      <c r="M7" s="17"/>
      <c r="N7" s="3"/>
      <c r="O7" s="17"/>
      <c r="P7" s="3"/>
      <c r="Q7" s="17"/>
    </row>
    <row r="8" spans="1:17" s="1" customFormat="1" ht="14" x14ac:dyDescent="0.4">
      <c r="C8" s="16"/>
      <c r="E8" s="16"/>
      <c r="G8" s="16"/>
      <c r="I8" s="16"/>
      <c r="K8" s="16"/>
      <c r="M8" s="16"/>
      <c r="O8" s="16"/>
      <c r="Q8" s="16"/>
    </row>
    <row r="9" spans="1:17" x14ac:dyDescent="0.45">
      <c r="A9" s="152" t="s">
        <v>1</v>
      </c>
      <c r="B9" s="151" t="s">
        <v>2</v>
      </c>
      <c r="C9" s="151"/>
      <c r="D9" s="151" t="s">
        <v>3</v>
      </c>
      <c r="E9" s="151"/>
      <c r="F9" s="151" t="s">
        <v>4</v>
      </c>
      <c r="G9" s="151"/>
      <c r="H9" s="150" t="s">
        <v>5</v>
      </c>
      <c r="I9" s="150"/>
      <c r="J9" s="151" t="s">
        <v>6</v>
      </c>
      <c r="K9" s="151"/>
      <c r="L9" s="151" t="s">
        <v>7</v>
      </c>
      <c r="M9" s="151"/>
      <c r="N9" s="151" t="s">
        <v>8</v>
      </c>
      <c r="O9" s="151"/>
      <c r="P9" s="151" t="s">
        <v>9</v>
      </c>
      <c r="Q9" s="151"/>
    </row>
    <row r="10" spans="1:17" x14ac:dyDescent="0.45">
      <c r="A10" s="153"/>
      <c r="B10" s="5" t="s">
        <v>10</v>
      </c>
      <c r="C10" s="20" t="s">
        <v>11</v>
      </c>
      <c r="D10" s="5" t="s">
        <v>10</v>
      </c>
      <c r="E10" s="20" t="s">
        <v>11</v>
      </c>
      <c r="F10" s="5" t="s">
        <v>10</v>
      </c>
      <c r="G10" s="20" t="s">
        <v>11</v>
      </c>
      <c r="H10" s="5" t="s">
        <v>10</v>
      </c>
      <c r="I10" s="20" t="s">
        <v>11</v>
      </c>
      <c r="J10" s="5" t="s">
        <v>10</v>
      </c>
      <c r="K10" s="20" t="s">
        <v>11</v>
      </c>
      <c r="L10" s="5" t="s">
        <v>10</v>
      </c>
      <c r="M10" s="20" t="s">
        <v>11</v>
      </c>
      <c r="N10" s="5" t="s">
        <v>10</v>
      </c>
      <c r="O10" s="20" t="s">
        <v>11</v>
      </c>
      <c r="P10" s="5" t="s">
        <v>10</v>
      </c>
      <c r="Q10" s="20" t="s">
        <v>11</v>
      </c>
    </row>
    <row r="11" spans="1:17" s="95" customFormat="1" ht="12" customHeight="1" x14ac:dyDescent="0.4">
      <c r="A11" s="115" t="s">
        <v>17</v>
      </c>
      <c r="B11" s="115"/>
      <c r="C11" s="116"/>
      <c r="D11" s="115"/>
      <c r="E11" s="116"/>
      <c r="F11" s="115"/>
      <c r="G11" s="116"/>
      <c r="H11" s="115"/>
      <c r="I11" s="116"/>
      <c r="J11" s="115"/>
      <c r="K11" s="116"/>
      <c r="L11" s="115"/>
      <c r="M11" s="116"/>
      <c r="N11" s="115"/>
      <c r="O11" s="116"/>
      <c r="P11" s="115"/>
      <c r="Q11" s="116"/>
    </row>
    <row r="12" spans="1:17" s="95" customFormat="1" ht="12" customHeight="1" x14ac:dyDescent="0.4">
      <c r="A12" s="21" t="s">
        <v>18</v>
      </c>
      <c r="B12" s="23">
        <v>1359</v>
      </c>
      <c r="C12" s="77">
        <v>-5.3</v>
      </c>
      <c r="D12" s="22">
        <v>2229</v>
      </c>
      <c r="E12" s="78">
        <v>-6.5</v>
      </c>
      <c r="F12" s="22">
        <v>1452</v>
      </c>
      <c r="G12" s="78">
        <v>4.54</v>
      </c>
      <c r="H12" s="27" t="s">
        <v>61</v>
      </c>
      <c r="I12" s="109" t="s">
        <v>61</v>
      </c>
      <c r="J12" s="22">
        <v>1589</v>
      </c>
      <c r="K12" s="78">
        <v>5.3</v>
      </c>
      <c r="L12" s="22">
        <v>1652</v>
      </c>
      <c r="M12" s="78">
        <v>-5.87</v>
      </c>
      <c r="N12" s="22">
        <v>1145</v>
      </c>
      <c r="O12" s="78">
        <v>-0.26</v>
      </c>
      <c r="P12" s="23">
        <v>1742</v>
      </c>
      <c r="Q12" s="79">
        <v>-4.0199999999999996</v>
      </c>
    </row>
    <row r="13" spans="1:17" s="95" customFormat="1" ht="12" customHeight="1" x14ac:dyDescent="0.4">
      <c r="A13" s="24" t="s">
        <v>19</v>
      </c>
      <c r="B13" s="25">
        <v>9948</v>
      </c>
      <c r="C13" s="80">
        <v>-0.03</v>
      </c>
      <c r="D13" s="25">
        <v>5036</v>
      </c>
      <c r="E13" s="81">
        <v>23.55</v>
      </c>
      <c r="F13" s="25">
        <v>4952</v>
      </c>
      <c r="G13" s="81">
        <v>28.22</v>
      </c>
      <c r="H13" s="29" t="s">
        <v>61</v>
      </c>
      <c r="I13" s="110" t="s">
        <v>61</v>
      </c>
      <c r="J13" s="25">
        <v>5146</v>
      </c>
      <c r="K13" s="80">
        <v>64.25</v>
      </c>
      <c r="L13" s="25">
        <v>7319</v>
      </c>
      <c r="M13" s="81">
        <v>24.28</v>
      </c>
      <c r="N13" s="25">
        <v>2821</v>
      </c>
      <c r="O13" s="81">
        <v>-11.71</v>
      </c>
      <c r="P13" s="26">
        <v>5735</v>
      </c>
      <c r="Q13" s="80">
        <v>48.31</v>
      </c>
    </row>
    <row r="14" spans="1:17" s="95" customFormat="1" ht="12" customHeight="1" x14ac:dyDescent="0.4">
      <c r="A14" s="21" t="s">
        <v>20</v>
      </c>
      <c r="B14" s="99">
        <v>2232</v>
      </c>
      <c r="C14" s="100">
        <v>0.45</v>
      </c>
      <c r="D14" s="22">
        <v>1738</v>
      </c>
      <c r="E14" s="78">
        <v>1.46</v>
      </c>
      <c r="F14" s="22">
        <v>1689</v>
      </c>
      <c r="G14" s="78">
        <v>-22.34</v>
      </c>
      <c r="H14" s="22">
        <v>2245</v>
      </c>
      <c r="I14" s="78">
        <v>3.31</v>
      </c>
      <c r="J14" s="99">
        <v>2304</v>
      </c>
      <c r="K14" s="100">
        <v>1.45</v>
      </c>
      <c r="L14" s="22">
        <v>1940</v>
      </c>
      <c r="M14" s="78">
        <v>-5.64</v>
      </c>
      <c r="N14" s="22">
        <v>1946</v>
      </c>
      <c r="O14" s="78">
        <v>-0.82</v>
      </c>
      <c r="P14" s="22">
        <v>2046</v>
      </c>
      <c r="Q14" s="78">
        <v>0.2</v>
      </c>
    </row>
    <row r="15" spans="1:17" s="95" customFormat="1" ht="12" customHeight="1" x14ac:dyDescent="0.4">
      <c r="A15" s="24" t="s">
        <v>21</v>
      </c>
      <c r="B15" s="25">
        <v>2423</v>
      </c>
      <c r="C15" s="81">
        <v>19.600000000000001</v>
      </c>
      <c r="D15" s="25">
        <v>2485</v>
      </c>
      <c r="E15" s="81">
        <v>20.399999999999999</v>
      </c>
      <c r="F15" s="25">
        <v>1712</v>
      </c>
      <c r="G15" s="81">
        <v>1.24</v>
      </c>
      <c r="H15" s="26">
        <v>3184</v>
      </c>
      <c r="I15" s="37">
        <v>24.91</v>
      </c>
      <c r="J15" s="25">
        <v>1928</v>
      </c>
      <c r="K15" s="81">
        <v>56.37</v>
      </c>
      <c r="L15" s="25">
        <v>1775</v>
      </c>
      <c r="M15" s="81">
        <v>7.9</v>
      </c>
      <c r="N15" s="25">
        <v>2290</v>
      </c>
      <c r="O15" s="81">
        <v>3.71</v>
      </c>
      <c r="P15" s="26">
        <v>2175</v>
      </c>
      <c r="Q15" s="80">
        <v>21.04</v>
      </c>
    </row>
    <row r="16" spans="1:17" s="95" customFormat="1" ht="12" customHeight="1" x14ac:dyDescent="0.4">
      <c r="A16" s="21" t="s">
        <v>22</v>
      </c>
      <c r="B16" s="27" t="s">
        <v>61</v>
      </c>
      <c r="C16" s="109" t="s">
        <v>61</v>
      </c>
      <c r="D16" s="22">
        <v>1720</v>
      </c>
      <c r="E16" s="78">
        <v>6.83</v>
      </c>
      <c r="F16" s="22">
        <v>954</v>
      </c>
      <c r="G16" s="78">
        <v>-15.12</v>
      </c>
      <c r="H16" s="22">
        <v>1263</v>
      </c>
      <c r="I16" s="78">
        <v>-12.23</v>
      </c>
      <c r="J16" s="22">
        <v>923</v>
      </c>
      <c r="K16" s="78">
        <v>-36.520000000000003</v>
      </c>
      <c r="L16" s="22">
        <v>1295</v>
      </c>
      <c r="M16" s="78">
        <v>-6.57</v>
      </c>
      <c r="N16" s="22">
        <v>1529</v>
      </c>
      <c r="O16" s="78">
        <v>4.87</v>
      </c>
      <c r="P16" s="27" t="s">
        <v>61</v>
      </c>
      <c r="Q16" s="109" t="s">
        <v>61</v>
      </c>
    </row>
    <row r="17" spans="1:17" s="95" customFormat="1" ht="12" customHeight="1" x14ac:dyDescent="0.4">
      <c r="A17" s="24" t="s">
        <v>23</v>
      </c>
      <c r="B17" s="25">
        <v>3534</v>
      </c>
      <c r="C17" s="81">
        <v>4.59</v>
      </c>
      <c r="D17" s="25">
        <v>2074</v>
      </c>
      <c r="E17" s="81">
        <v>-31.32</v>
      </c>
      <c r="F17" s="25">
        <v>2429</v>
      </c>
      <c r="G17" s="81">
        <v>-18.84</v>
      </c>
      <c r="H17" s="26">
        <v>3271</v>
      </c>
      <c r="I17" s="80">
        <v>-10.48</v>
      </c>
      <c r="J17" s="25">
        <v>2413</v>
      </c>
      <c r="K17" s="81">
        <v>-16.940000000000001</v>
      </c>
      <c r="L17" s="25">
        <v>3751</v>
      </c>
      <c r="M17" s="81">
        <v>8.2200000000000006</v>
      </c>
      <c r="N17" s="25">
        <v>1700</v>
      </c>
      <c r="O17" s="81">
        <v>-11.55</v>
      </c>
      <c r="P17" s="26">
        <v>2427</v>
      </c>
      <c r="Q17" s="80">
        <v>3.28</v>
      </c>
    </row>
    <row r="18" spans="1:17" s="95" customFormat="1" ht="12" customHeight="1" x14ac:dyDescent="0.4">
      <c r="A18" s="21" t="s">
        <v>24</v>
      </c>
      <c r="B18" s="99">
        <v>3000</v>
      </c>
      <c r="C18" s="100">
        <v>17.88</v>
      </c>
      <c r="D18" s="22">
        <v>2498</v>
      </c>
      <c r="E18" s="78">
        <v>-1.38</v>
      </c>
      <c r="F18" s="22">
        <v>2538</v>
      </c>
      <c r="G18" s="78">
        <v>37.71</v>
      </c>
      <c r="H18" s="22">
        <v>2863</v>
      </c>
      <c r="I18" s="78">
        <v>9.23</v>
      </c>
      <c r="J18" s="99">
        <v>1140</v>
      </c>
      <c r="K18" s="100">
        <v>18.63</v>
      </c>
      <c r="L18" s="22">
        <v>2252</v>
      </c>
      <c r="M18" s="78">
        <v>43.26</v>
      </c>
      <c r="N18" s="22">
        <v>1289</v>
      </c>
      <c r="O18" s="78">
        <v>-6.12</v>
      </c>
      <c r="P18" s="22">
        <v>2170</v>
      </c>
      <c r="Q18" s="78">
        <v>4.03</v>
      </c>
    </row>
    <row r="19" spans="1:17" s="95" customFormat="1" ht="12" customHeight="1" x14ac:dyDescent="0.4">
      <c r="A19" s="24" t="s">
        <v>25</v>
      </c>
      <c r="B19" s="25">
        <v>968</v>
      </c>
      <c r="C19" s="81">
        <v>-43.56</v>
      </c>
      <c r="D19" s="25">
        <v>1683</v>
      </c>
      <c r="E19" s="81">
        <v>-34.51</v>
      </c>
      <c r="F19" s="25">
        <v>1036</v>
      </c>
      <c r="G19" s="81">
        <v>-31.3</v>
      </c>
      <c r="H19" s="26">
        <v>1238</v>
      </c>
      <c r="I19" s="80">
        <v>-29.7</v>
      </c>
      <c r="J19" s="25">
        <v>1069</v>
      </c>
      <c r="K19" s="81">
        <v>-34.94</v>
      </c>
      <c r="L19" s="25">
        <v>1086</v>
      </c>
      <c r="M19" s="81">
        <v>-27.6</v>
      </c>
      <c r="N19" s="25">
        <v>1171</v>
      </c>
      <c r="O19" s="81">
        <v>-35.520000000000003</v>
      </c>
      <c r="P19" s="26">
        <v>1267</v>
      </c>
      <c r="Q19" s="80">
        <v>-42.98</v>
      </c>
    </row>
    <row r="20" spans="1:17" s="95" customFormat="1" ht="12" customHeight="1" x14ac:dyDescent="0.4">
      <c r="A20" s="21" t="s">
        <v>26</v>
      </c>
      <c r="B20" s="22">
        <v>3351</v>
      </c>
      <c r="C20" s="78">
        <v>-3.21</v>
      </c>
      <c r="D20" s="22">
        <v>4072</v>
      </c>
      <c r="E20" s="78">
        <v>-8.3699999999999992</v>
      </c>
      <c r="F20" s="22">
        <v>5008</v>
      </c>
      <c r="G20" s="78">
        <v>-14.74</v>
      </c>
      <c r="H20" s="22">
        <v>4434</v>
      </c>
      <c r="I20" s="78">
        <v>-21.95</v>
      </c>
      <c r="J20" s="22">
        <v>2911</v>
      </c>
      <c r="K20" s="78">
        <v>-29.14</v>
      </c>
      <c r="L20" s="22">
        <v>4895</v>
      </c>
      <c r="M20" s="78">
        <v>-5.39</v>
      </c>
      <c r="N20" s="22">
        <v>3136</v>
      </c>
      <c r="O20" s="78">
        <v>-21.19</v>
      </c>
      <c r="P20" s="22">
        <v>3300</v>
      </c>
      <c r="Q20" s="78">
        <v>-19.510000000000002</v>
      </c>
    </row>
    <row r="21" spans="1:17" s="95" customFormat="1" ht="12" customHeight="1" x14ac:dyDescent="0.4">
      <c r="A21" s="24" t="s">
        <v>27</v>
      </c>
      <c r="B21" s="25">
        <v>1585</v>
      </c>
      <c r="C21" s="81">
        <v>5.25</v>
      </c>
      <c r="D21" s="25">
        <v>1173</v>
      </c>
      <c r="E21" s="81">
        <v>41.84</v>
      </c>
      <c r="F21" s="25">
        <v>1178</v>
      </c>
      <c r="G21" s="81">
        <v>15.04</v>
      </c>
      <c r="H21" s="26">
        <v>1686</v>
      </c>
      <c r="I21" s="80">
        <v>26.2</v>
      </c>
      <c r="J21" s="25">
        <v>1611</v>
      </c>
      <c r="K21" s="81">
        <v>27.25</v>
      </c>
      <c r="L21" s="25">
        <v>1625</v>
      </c>
      <c r="M21" s="81">
        <v>53.45</v>
      </c>
      <c r="N21" s="25">
        <v>1045</v>
      </c>
      <c r="O21" s="81">
        <v>-3.24</v>
      </c>
      <c r="P21" s="26">
        <v>1631</v>
      </c>
      <c r="Q21" s="80">
        <v>8.01</v>
      </c>
    </row>
    <row r="22" spans="1:17" s="95" customFormat="1" ht="12" customHeight="1" x14ac:dyDescent="0.4">
      <c r="A22" s="21" t="s">
        <v>28</v>
      </c>
      <c r="B22" s="22">
        <v>3637</v>
      </c>
      <c r="C22" s="78">
        <v>12.29</v>
      </c>
      <c r="D22" s="22">
        <v>3523</v>
      </c>
      <c r="E22" s="78">
        <v>22.24</v>
      </c>
      <c r="F22" s="22">
        <v>3228</v>
      </c>
      <c r="G22" s="78">
        <v>0.84</v>
      </c>
      <c r="H22" s="27" t="s">
        <v>61</v>
      </c>
      <c r="I22" s="109" t="s">
        <v>61</v>
      </c>
      <c r="J22" s="22">
        <v>3751</v>
      </c>
      <c r="K22" s="78">
        <v>22.1</v>
      </c>
      <c r="L22" s="22">
        <v>3608</v>
      </c>
      <c r="M22" s="78">
        <v>6.56</v>
      </c>
      <c r="N22" s="22">
        <v>4150</v>
      </c>
      <c r="O22" s="78">
        <v>23.59</v>
      </c>
      <c r="P22" s="23">
        <v>3804</v>
      </c>
      <c r="Q22" s="79">
        <v>13.11</v>
      </c>
    </row>
    <row r="23" spans="1:17" s="95" customFormat="1" ht="12" customHeight="1" x14ac:dyDescent="0.4">
      <c r="A23" s="30" t="s">
        <v>29</v>
      </c>
      <c r="B23" s="90">
        <v>1884</v>
      </c>
      <c r="C23" s="103">
        <v>8.2100000000000009</v>
      </c>
      <c r="D23" s="31">
        <v>1915</v>
      </c>
      <c r="E23" s="82">
        <v>28.78</v>
      </c>
      <c r="F23" s="31">
        <v>1420</v>
      </c>
      <c r="G23" s="82">
        <v>3.57</v>
      </c>
      <c r="H23" s="31">
        <v>1980</v>
      </c>
      <c r="I23" s="82">
        <v>23.75</v>
      </c>
      <c r="J23" s="31">
        <v>2068</v>
      </c>
      <c r="K23" s="82">
        <v>43.51</v>
      </c>
      <c r="L23" s="31">
        <v>1612</v>
      </c>
      <c r="M23" s="82">
        <v>45.62</v>
      </c>
      <c r="N23" s="31">
        <v>1308</v>
      </c>
      <c r="O23" s="142" t="s">
        <v>61</v>
      </c>
      <c r="P23" s="31">
        <v>1942</v>
      </c>
      <c r="Q23" s="82">
        <v>29.12</v>
      </c>
    </row>
    <row r="24" spans="1:17" s="129" customFormat="1" ht="11.5" x14ac:dyDescent="0.3">
      <c r="A24" s="117" t="s">
        <v>30</v>
      </c>
      <c r="B24" s="118"/>
      <c r="C24" s="119"/>
      <c r="D24" s="118"/>
      <c r="E24" s="119"/>
      <c r="F24" s="118"/>
      <c r="G24" s="119"/>
      <c r="H24" s="118"/>
      <c r="I24" s="119"/>
      <c r="J24" s="118"/>
      <c r="K24" s="119"/>
      <c r="L24" s="118"/>
      <c r="M24" s="119"/>
      <c r="N24" s="118"/>
      <c r="O24" s="119"/>
      <c r="P24" s="118"/>
      <c r="Q24" s="119"/>
    </row>
    <row r="25" spans="1:17" s="95" customFormat="1" ht="12" customHeight="1" x14ac:dyDescent="0.4">
      <c r="A25" s="24" t="s">
        <v>48</v>
      </c>
      <c r="B25" s="104" t="s">
        <v>61</v>
      </c>
      <c r="C25" s="110" t="s">
        <v>61</v>
      </c>
      <c r="D25" s="25">
        <v>10392</v>
      </c>
      <c r="E25" s="81">
        <v>13.36</v>
      </c>
      <c r="F25" s="25">
        <v>8481</v>
      </c>
      <c r="G25" s="132">
        <v>0.14000000000000001</v>
      </c>
      <c r="H25" s="29" t="s">
        <v>61</v>
      </c>
      <c r="I25" s="110" t="s">
        <v>61</v>
      </c>
      <c r="J25" s="28">
        <v>9539</v>
      </c>
      <c r="K25" s="80">
        <v>17.77</v>
      </c>
      <c r="L25" s="25" t="s">
        <v>61</v>
      </c>
      <c r="M25" s="37" t="s">
        <v>61</v>
      </c>
      <c r="N25" s="25">
        <v>8545</v>
      </c>
      <c r="O25" s="81">
        <v>6.51</v>
      </c>
      <c r="P25" s="26">
        <v>9050</v>
      </c>
      <c r="Q25" s="80">
        <v>11.89</v>
      </c>
    </row>
    <row r="26" spans="1:17" s="95" customFormat="1" ht="12" customHeight="1" x14ac:dyDescent="0.4">
      <c r="A26" s="21" t="s">
        <v>31</v>
      </c>
      <c r="B26" s="22">
        <v>1270</v>
      </c>
      <c r="C26" s="78">
        <v>58.75</v>
      </c>
      <c r="D26" s="22">
        <v>2248</v>
      </c>
      <c r="E26" s="78">
        <v>-0.56999999999999995</v>
      </c>
      <c r="F26" s="22">
        <v>2033</v>
      </c>
      <c r="G26" s="78">
        <v>-0.05</v>
      </c>
      <c r="H26" s="27" t="s">
        <v>61</v>
      </c>
      <c r="I26" s="109" t="s">
        <v>61</v>
      </c>
      <c r="J26" s="22">
        <v>1571</v>
      </c>
      <c r="K26" s="78">
        <v>-5.59</v>
      </c>
      <c r="L26" s="22">
        <v>2080</v>
      </c>
      <c r="M26" s="78">
        <v>1.27</v>
      </c>
      <c r="N26" s="22">
        <v>1814</v>
      </c>
      <c r="O26" s="78">
        <v>2.37</v>
      </c>
      <c r="P26" s="23">
        <v>1454</v>
      </c>
      <c r="Q26" s="79">
        <v>-5.22</v>
      </c>
    </row>
    <row r="27" spans="1:17" s="95" customFormat="1" ht="12" customHeight="1" x14ac:dyDescent="0.4">
      <c r="A27" s="24" t="s">
        <v>32</v>
      </c>
      <c r="B27" s="25">
        <v>5100</v>
      </c>
      <c r="C27" s="81">
        <v>1.17</v>
      </c>
      <c r="D27" s="25">
        <v>6641</v>
      </c>
      <c r="E27" s="81">
        <v>1.19</v>
      </c>
      <c r="F27" s="29" t="s">
        <v>61</v>
      </c>
      <c r="G27" s="110" t="s">
        <v>61</v>
      </c>
      <c r="H27" s="25">
        <v>4914</v>
      </c>
      <c r="I27" s="81">
        <v>-12.78</v>
      </c>
      <c r="J27" s="25">
        <v>4301</v>
      </c>
      <c r="K27" s="81">
        <v>1.75</v>
      </c>
      <c r="L27" s="29" t="s">
        <v>61</v>
      </c>
      <c r="M27" s="110" t="s">
        <v>61</v>
      </c>
      <c r="N27" s="26">
        <v>8448</v>
      </c>
      <c r="O27" s="81">
        <v>-2.92</v>
      </c>
      <c r="P27" s="25">
        <v>5933</v>
      </c>
      <c r="Q27" s="81">
        <v>2.2400000000000002</v>
      </c>
    </row>
    <row r="28" spans="1:17" s="95" customFormat="1" ht="12" customHeight="1" x14ac:dyDescent="0.4">
      <c r="A28" s="21" t="s">
        <v>33</v>
      </c>
      <c r="B28" s="27" t="s">
        <v>61</v>
      </c>
      <c r="C28" s="109" t="s">
        <v>61</v>
      </c>
      <c r="D28" s="22">
        <v>6669</v>
      </c>
      <c r="E28" s="78">
        <v>10.54</v>
      </c>
      <c r="F28" s="22">
        <v>7639</v>
      </c>
      <c r="G28" s="78">
        <v>4.1399999999999997</v>
      </c>
      <c r="H28" s="27" t="s">
        <v>61</v>
      </c>
      <c r="I28" s="109" t="s">
        <v>61</v>
      </c>
      <c r="J28" s="23">
        <v>6512</v>
      </c>
      <c r="K28" s="77">
        <v>22.52</v>
      </c>
      <c r="L28" s="23">
        <v>6555</v>
      </c>
      <c r="M28" s="79">
        <v>-5.48</v>
      </c>
      <c r="N28" s="22">
        <v>6447</v>
      </c>
      <c r="O28" s="78">
        <v>9.2899999999999991</v>
      </c>
      <c r="P28" s="23">
        <v>7550</v>
      </c>
      <c r="Q28" s="79">
        <v>21.68</v>
      </c>
    </row>
    <row r="29" spans="1:17" s="95" customFormat="1" ht="12" customHeight="1" x14ac:dyDescent="0.4">
      <c r="A29" s="24" t="s">
        <v>34</v>
      </c>
      <c r="B29" s="25">
        <v>3973</v>
      </c>
      <c r="C29" s="81">
        <v>14.43</v>
      </c>
      <c r="D29" s="25">
        <v>1881</v>
      </c>
      <c r="E29" s="81">
        <v>14.77</v>
      </c>
      <c r="F29" s="25">
        <v>2316</v>
      </c>
      <c r="G29" s="81">
        <v>73.61</v>
      </c>
      <c r="H29" s="25">
        <v>3432</v>
      </c>
      <c r="I29" s="81">
        <v>6.92</v>
      </c>
      <c r="J29" s="25">
        <v>2428</v>
      </c>
      <c r="K29" s="81">
        <v>0.71</v>
      </c>
      <c r="L29" s="25">
        <v>2608</v>
      </c>
      <c r="M29" s="81">
        <v>66.33</v>
      </c>
      <c r="N29" s="25">
        <v>2263</v>
      </c>
      <c r="O29" s="81">
        <v>24</v>
      </c>
      <c r="P29" s="25">
        <v>2271</v>
      </c>
      <c r="Q29" s="81">
        <v>-0.31</v>
      </c>
    </row>
    <row r="30" spans="1:17" s="95" customFormat="1" ht="12" customHeight="1" x14ac:dyDescent="0.4">
      <c r="A30" s="21" t="s">
        <v>54</v>
      </c>
      <c r="B30" s="22">
        <v>2045</v>
      </c>
      <c r="C30" s="78">
        <v>-7.59</v>
      </c>
      <c r="D30" s="22">
        <v>1936</v>
      </c>
      <c r="E30" s="78">
        <v>-28.19</v>
      </c>
      <c r="F30" s="22">
        <v>1643</v>
      </c>
      <c r="G30" s="78">
        <v>-22.68</v>
      </c>
      <c r="H30" s="23">
        <v>2308</v>
      </c>
      <c r="I30" s="79">
        <v>-18.3</v>
      </c>
      <c r="J30" s="22">
        <v>1327</v>
      </c>
      <c r="K30" s="79">
        <v>-24.34</v>
      </c>
      <c r="L30" s="22">
        <v>2139</v>
      </c>
      <c r="M30" s="78">
        <v>-33.69</v>
      </c>
      <c r="N30" s="22">
        <v>1749</v>
      </c>
      <c r="O30" s="78">
        <v>-13.46</v>
      </c>
      <c r="P30" s="23">
        <v>1646</v>
      </c>
      <c r="Q30" s="79">
        <v>-21.88</v>
      </c>
    </row>
    <row r="31" spans="1:17" s="95" customFormat="1" ht="12" customHeight="1" x14ac:dyDescent="0.4">
      <c r="A31" s="24" t="s">
        <v>35</v>
      </c>
      <c r="B31" s="26">
        <v>4603</v>
      </c>
      <c r="C31" s="80">
        <v>-10.52</v>
      </c>
      <c r="D31" s="25">
        <v>3603</v>
      </c>
      <c r="E31" s="81">
        <v>-8.5299999999999994</v>
      </c>
      <c r="F31" s="25">
        <v>3386</v>
      </c>
      <c r="G31" s="81">
        <v>-13.69</v>
      </c>
      <c r="H31" s="26">
        <v>4579</v>
      </c>
      <c r="I31" s="80">
        <v>-9.6999999999999993</v>
      </c>
      <c r="J31" s="26">
        <v>3436</v>
      </c>
      <c r="K31" s="80">
        <v>-7.41</v>
      </c>
      <c r="L31" s="25">
        <v>4962</v>
      </c>
      <c r="M31" s="81">
        <v>-2.88</v>
      </c>
      <c r="N31" s="25">
        <v>2985</v>
      </c>
      <c r="O31" s="81">
        <v>-8.99</v>
      </c>
      <c r="P31" s="26">
        <v>3317</v>
      </c>
      <c r="Q31" s="80">
        <v>-15.75</v>
      </c>
    </row>
    <row r="32" spans="1:17" s="95" customFormat="1" ht="12" customHeight="1" x14ac:dyDescent="0.4">
      <c r="A32" s="21" t="s">
        <v>36</v>
      </c>
      <c r="B32" s="22">
        <v>2306</v>
      </c>
      <c r="C32" s="78">
        <v>-0.13</v>
      </c>
      <c r="D32" s="22">
        <v>2326</v>
      </c>
      <c r="E32" s="78">
        <v>10.18</v>
      </c>
      <c r="F32" s="22">
        <v>1711</v>
      </c>
      <c r="G32" s="78">
        <v>19.149999999999999</v>
      </c>
      <c r="H32" s="23">
        <v>2326</v>
      </c>
      <c r="I32" s="109">
        <v>10.45</v>
      </c>
      <c r="J32" s="22">
        <v>2730</v>
      </c>
      <c r="K32" s="78">
        <v>21.33</v>
      </c>
      <c r="L32" s="22">
        <v>1973</v>
      </c>
      <c r="M32" s="78">
        <v>-20.059999999999999</v>
      </c>
      <c r="N32" s="22">
        <v>3367</v>
      </c>
      <c r="O32" s="78">
        <v>105.3</v>
      </c>
      <c r="P32" s="23">
        <v>2247</v>
      </c>
      <c r="Q32" s="79">
        <v>31.63</v>
      </c>
    </row>
    <row r="33" spans="1:17" s="95" customFormat="1" ht="12" customHeight="1" x14ac:dyDescent="0.4">
      <c r="A33" s="24" t="s">
        <v>37</v>
      </c>
      <c r="B33" s="25">
        <v>3404</v>
      </c>
      <c r="C33" s="81">
        <v>-40.67</v>
      </c>
      <c r="D33" s="25">
        <v>2129</v>
      </c>
      <c r="E33" s="96">
        <v>-44.73</v>
      </c>
      <c r="F33" s="25">
        <v>2426</v>
      </c>
      <c r="G33" s="80">
        <v>-38.4</v>
      </c>
      <c r="H33" s="29">
        <v>2810</v>
      </c>
      <c r="I33" s="110">
        <v>-11.83</v>
      </c>
      <c r="J33" s="25">
        <v>2352</v>
      </c>
      <c r="K33" s="81">
        <v>-48.08</v>
      </c>
      <c r="L33" s="25">
        <v>3245</v>
      </c>
      <c r="M33" s="81">
        <v>-39.54</v>
      </c>
      <c r="N33" s="25">
        <v>1877</v>
      </c>
      <c r="O33" s="80">
        <v>-45.77</v>
      </c>
      <c r="P33" s="26">
        <v>2286</v>
      </c>
      <c r="Q33" s="81">
        <v>-45.57</v>
      </c>
    </row>
    <row r="34" spans="1:17" s="95" customFormat="1" ht="12" customHeight="1" x14ac:dyDescent="0.4">
      <c r="A34" s="21" t="s">
        <v>51</v>
      </c>
      <c r="B34" s="73" t="s">
        <v>61</v>
      </c>
      <c r="C34" s="109" t="s">
        <v>61</v>
      </c>
      <c r="D34" s="22">
        <v>10035</v>
      </c>
      <c r="E34" s="78">
        <v>-11.75</v>
      </c>
      <c r="F34" s="22">
        <v>9333</v>
      </c>
      <c r="G34" s="78">
        <v>-13.97</v>
      </c>
      <c r="H34" s="23">
        <v>10282</v>
      </c>
      <c r="I34" s="77">
        <v>-11.92</v>
      </c>
      <c r="J34" s="23">
        <v>9939</v>
      </c>
      <c r="K34" s="79">
        <v>-11.29</v>
      </c>
      <c r="L34" s="22">
        <v>11403</v>
      </c>
      <c r="M34" s="78">
        <v>-3.59</v>
      </c>
      <c r="N34" s="22">
        <v>9534</v>
      </c>
      <c r="O34" s="78">
        <v>-10.86</v>
      </c>
      <c r="P34" s="23">
        <v>10236</v>
      </c>
      <c r="Q34" s="79">
        <v>-5.99</v>
      </c>
    </row>
    <row r="35" spans="1:17" s="95" customFormat="1" ht="12" customHeight="1" x14ac:dyDescent="0.4">
      <c r="A35" s="24" t="s">
        <v>38</v>
      </c>
      <c r="B35" s="26">
        <v>2550</v>
      </c>
      <c r="C35" s="37">
        <v>-26.04</v>
      </c>
      <c r="D35" s="25">
        <v>2758</v>
      </c>
      <c r="E35" s="81">
        <v>-26.82</v>
      </c>
      <c r="F35" s="25">
        <v>2563</v>
      </c>
      <c r="G35" s="81">
        <v>-25.58</v>
      </c>
      <c r="H35" s="29" t="s">
        <v>61</v>
      </c>
      <c r="I35" s="110" t="s">
        <v>61</v>
      </c>
      <c r="J35" s="25">
        <v>3019</v>
      </c>
      <c r="K35" s="81">
        <v>-16.23</v>
      </c>
      <c r="L35" s="25">
        <v>4309</v>
      </c>
      <c r="M35" s="81">
        <v>-12.81</v>
      </c>
      <c r="N35" s="25">
        <v>1593</v>
      </c>
      <c r="O35" s="81">
        <v>-33.46</v>
      </c>
      <c r="P35" s="26">
        <v>3187</v>
      </c>
      <c r="Q35" s="81">
        <v>-13.51</v>
      </c>
    </row>
    <row r="36" spans="1:17" s="95" customFormat="1" ht="12" customHeight="1" x14ac:dyDescent="0.4">
      <c r="A36" s="21" t="s">
        <v>39</v>
      </c>
      <c r="B36" s="22">
        <v>5880</v>
      </c>
      <c r="C36" s="78">
        <v>7.59</v>
      </c>
      <c r="D36" s="22">
        <v>5981</v>
      </c>
      <c r="E36" s="78">
        <v>15.02</v>
      </c>
      <c r="F36" s="22">
        <v>4217</v>
      </c>
      <c r="G36" s="78">
        <v>3.43</v>
      </c>
      <c r="H36" s="23">
        <v>5030</v>
      </c>
      <c r="I36" s="79">
        <v>5.05</v>
      </c>
      <c r="J36" s="22">
        <v>5300</v>
      </c>
      <c r="K36" s="78">
        <v>10.42</v>
      </c>
      <c r="L36" s="22">
        <v>3902</v>
      </c>
      <c r="M36" s="78">
        <v>-0.18</v>
      </c>
      <c r="N36" s="22">
        <v>3947</v>
      </c>
      <c r="O36" s="78">
        <v>-10.5</v>
      </c>
      <c r="P36" s="23">
        <v>5121</v>
      </c>
      <c r="Q36" s="79">
        <v>-0.35</v>
      </c>
    </row>
    <row r="37" spans="1:17" s="95" customFormat="1" ht="12" customHeight="1" x14ac:dyDescent="0.4">
      <c r="A37" s="24" t="s">
        <v>56</v>
      </c>
      <c r="B37" s="133" t="s">
        <v>61</v>
      </c>
      <c r="C37" s="110" t="s">
        <v>61</v>
      </c>
      <c r="D37" s="25">
        <v>1549</v>
      </c>
      <c r="E37" s="81">
        <v>21.78</v>
      </c>
      <c r="F37" s="25">
        <v>883</v>
      </c>
      <c r="G37" s="80">
        <v>37.75</v>
      </c>
      <c r="H37" s="26">
        <v>1260</v>
      </c>
      <c r="I37" s="80">
        <v>5</v>
      </c>
      <c r="J37" s="29">
        <v>1177</v>
      </c>
      <c r="K37" s="110">
        <v>23.89</v>
      </c>
      <c r="L37" s="29">
        <v>998</v>
      </c>
      <c r="M37" s="110">
        <v>7.66</v>
      </c>
      <c r="N37" s="25">
        <v>1642</v>
      </c>
      <c r="O37" s="80">
        <v>5.59</v>
      </c>
      <c r="P37" s="25">
        <v>1431</v>
      </c>
      <c r="Q37" s="83">
        <v>33.61</v>
      </c>
    </row>
    <row r="38" spans="1:17" s="95" customFormat="1" ht="12" customHeight="1" x14ac:dyDescent="0.4">
      <c r="A38" s="21" t="s">
        <v>55</v>
      </c>
      <c r="B38" s="27" t="s">
        <v>61</v>
      </c>
      <c r="C38" s="109" t="s">
        <v>61</v>
      </c>
      <c r="D38" s="23">
        <v>1104</v>
      </c>
      <c r="E38" s="79">
        <v>-8.15</v>
      </c>
      <c r="F38" s="22">
        <v>1245</v>
      </c>
      <c r="G38" s="78">
        <v>-4.82</v>
      </c>
      <c r="H38" s="23">
        <v>1350</v>
      </c>
      <c r="I38" s="79">
        <v>-10</v>
      </c>
      <c r="J38" s="23">
        <v>1392</v>
      </c>
      <c r="K38" s="78">
        <v>-10.65</v>
      </c>
      <c r="L38" s="23">
        <v>1840</v>
      </c>
      <c r="M38" s="79">
        <v>0.66</v>
      </c>
      <c r="N38" s="22">
        <v>2488</v>
      </c>
      <c r="O38" s="78">
        <v>2.2200000000000002</v>
      </c>
      <c r="P38" s="23">
        <v>1431</v>
      </c>
      <c r="Q38" s="79">
        <v>-17.809999999999999</v>
      </c>
    </row>
    <row r="39" spans="1:17" s="95" customFormat="1" ht="12" customHeight="1" x14ac:dyDescent="0.4">
      <c r="A39" s="24" t="s">
        <v>40</v>
      </c>
      <c r="B39" s="26">
        <v>4033</v>
      </c>
      <c r="C39" s="37">
        <v>-3.91</v>
      </c>
      <c r="D39" s="26">
        <v>3802</v>
      </c>
      <c r="E39" s="80">
        <v>9.2799999999999994</v>
      </c>
      <c r="F39" s="25">
        <v>3677</v>
      </c>
      <c r="G39" s="81">
        <v>2.2799999999999998</v>
      </c>
      <c r="H39" s="26">
        <v>3729</v>
      </c>
      <c r="I39" s="80">
        <v>-5.59</v>
      </c>
      <c r="J39" s="26">
        <v>3369</v>
      </c>
      <c r="K39" s="81">
        <v>3.25</v>
      </c>
      <c r="L39" s="26">
        <v>3142</v>
      </c>
      <c r="M39" s="80">
        <v>-21.51</v>
      </c>
      <c r="N39" s="25">
        <v>4020</v>
      </c>
      <c r="O39" s="81">
        <v>19.96</v>
      </c>
      <c r="P39" s="26">
        <v>4571</v>
      </c>
      <c r="Q39" s="80">
        <v>18.54</v>
      </c>
    </row>
    <row r="40" spans="1:17" s="95" customFormat="1" ht="12" customHeight="1" x14ac:dyDescent="0.4">
      <c r="A40" s="21" t="s">
        <v>41</v>
      </c>
      <c r="B40" s="22">
        <v>1834</v>
      </c>
      <c r="C40" s="78">
        <v>-11.87</v>
      </c>
      <c r="D40" s="22">
        <v>1552</v>
      </c>
      <c r="E40" s="78">
        <v>-13.54</v>
      </c>
      <c r="F40" s="22">
        <v>1407</v>
      </c>
      <c r="G40" s="78">
        <v>-21.79</v>
      </c>
      <c r="H40" s="23">
        <v>1618</v>
      </c>
      <c r="I40" s="100">
        <v>-17.41</v>
      </c>
      <c r="J40" s="22">
        <v>1250</v>
      </c>
      <c r="K40" s="78">
        <v>-26.12</v>
      </c>
      <c r="L40" s="22">
        <v>4000</v>
      </c>
      <c r="M40" s="78">
        <v>-2.91</v>
      </c>
      <c r="N40" s="22">
        <v>1261</v>
      </c>
      <c r="O40" s="78">
        <v>-17.739999999999998</v>
      </c>
      <c r="P40" s="23">
        <v>1954</v>
      </c>
      <c r="Q40" s="100">
        <v>-4.59</v>
      </c>
    </row>
    <row r="41" spans="1:17" s="95" customFormat="1" ht="12" customHeight="1" x14ac:dyDescent="0.4">
      <c r="A41" s="30" t="s">
        <v>62</v>
      </c>
      <c r="B41" s="31" t="s">
        <v>61</v>
      </c>
      <c r="C41" s="111" t="s">
        <v>61</v>
      </c>
      <c r="D41" s="31">
        <v>7653</v>
      </c>
      <c r="E41" s="82">
        <v>-2.71</v>
      </c>
      <c r="F41" s="31">
        <v>8316</v>
      </c>
      <c r="G41" s="82">
        <v>0.65</v>
      </c>
      <c r="H41" s="90">
        <v>9170</v>
      </c>
      <c r="I41" s="103">
        <v>-2.29</v>
      </c>
      <c r="J41" s="31">
        <v>8311</v>
      </c>
      <c r="K41" s="82">
        <v>9.5399999999999991</v>
      </c>
      <c r="L41" s="31" t="s">
        <v>61</v>
      </c>
      <c r="M41" s="111" t="s">
        <v>61</v>
      </c>
      <c r="N41" s="31">
        <v>7032</v>
      </c>
      <c r="O41" s="82">
        <v>-5.18</v>
      </c>
      <c r="P41" s="90">
        <v>7410</v>
      </c>
      <c r="Q41" s="103">
        <v>-1.55</v>
      </c>
    </row>
    <row r="42" spans="1:17" s="95" customFormat="1" ht="12" customHeight="1" x14ac:dyDescent="0.4">
      <c r="A42" s="117" t="s">
        <v>42</v>
      </c>
      <c r="B42" s="118"/>
      <c r="C42" s="119"/>
      <c r="D42" s="118"/>
      <c r="E42" s="119"/>
      <c r="F42" s="118"/>
      <c r="G42" s="119"/>
      <c r="H42" s="118"/>
      <c r="I42" s="119"/>
      <c r="J42" s="118"/>
      <c r="K42" s="119"/>
      <c r="L42" s="118"/>
      <c r="M42" s="119"/>
      <c r="N42" s="118"/>
      <c r="O42" s="119"/>
      <c r="P42" s="118"/>
      <c r="Q42" s="119"/>
    </row>
    <row r="43" spans="1:17" s="95" customFormat="1" ht="12" customHeight="1" x14ac:dyDescent="0.4">
      <c r="A43" s="24" t="s">
        <v>43</v>
      </c>
      <c r="B43" s="29" t="s">
        <v>61</v>
      </c>
      <c r="C43" s="110" t="s">
        <v>61</v>
      </c>
      <c r="D43" s="25">
        <v>2776</v>
      </c>
      <c r="E43" s="81">
        <v>6.61</v>
      </c>
      <c r="F43" s="25">
        <v>3426</v>
      </c>
      <c r="G43" s="81">
        <v>7.06</v>
      </c>
      <c r="H43" s="29" t="s">
        <v>61</v>
      </c>
      <c r="I43" s="110" t="s">
        <v>61</v>
      </c>
      <c r="J43" s="25">
        <v>3011</v>
      </c>
      <c r="K43" s="81">
        <v>-14.44</v>
      </c>
      <c r="L43" s="25">
        <v>3845</v>
      </c>
      <c r="M43" s="81">
        <v>6.1</v>
      </c>
      <c r="N43" s="25">
        <v>1917</v>
      </c>
      <c r="O43" s="81">
        <v>-9.66</v>
      </c>
      <c r="P43" s="26">
        <v>3156</v>
      </c>
      <c r="Q43" s="81">
        <v>-24.26</v>
      </c>
    </row>
    <row r="44" spans="1:17" s="95" customFormat="1" ht="12" customHeight="1" x14ac:dyDescent="0.4">
      <c r="A44" s="21" t="s">
        <v>44</v>
      </c>
      <c r="B44" s="22">
        <v>1541</v>
      </c>
      <c r="C44" s="78">
        <v>-2.0299999999999998</v>
      </c>
      <c r="D44" s="22">
        <v>1931</v>
      </c>
      <c r="E44" s="78">
        <v>-7.21</v>
      </c>
      <c r="F44" s="22">
        <v>1727</v>
      </c>
      <c r="G44" s="78">
        <v>-8.19</v>
      </c>
      <c r="H44" s="23">
        <v>1693</v>
      </c>
      <c r="I44" s="79">
        <v>1.68</v>
      </c>
      <c r="J44" s="22">
        <v>1892</v>
      </c>
      <c r="K44" s="78">
        <v>-6.2</v>
      </c>
      <c r="L44" s="23">
        <v>1365</v>
      </c>
      <c r="M44" s="77">
        <v>-5.6</v>
      </c>
      <c r="N44" s="22">
        <v>2206</v>
      </c>
      <c r="O44" s="78">
        <v>-10.83</v>
      </c>
      <c r="P44" s="23">
        <v>2027</v>
      </c>
      <c r="Q44" s="79">
        <v>-8.0299999999999994</v>
      </c>
    </row>
    <row r="45" spans="1:17" s="95" customFormat="1" ht="12" customHeight="1" x14ac:dyDescent="0.4">
      <c r="A45" s="24" t="s">
        <v>63</v>
      </c>
      <c r="B45" s="25">
        <v>3872</v>
      </c>
      <c r="C45" s="80">
        <v>12.1</v>
      </c>
      <c r="D45" s="25">
        <v>4060</v>
      </c>
      <c r="E45" s="81">
        <v>11.75</v>
      </c>
      <c r="F45" s="25">
        <v>2712</v>
      </c>
      <c r="G45" s="81">
        <v>17.3</v>
      </c>
      <c r="H45" s="25">
        <v>4153</v>
      </c>
      <c r="I45" s="81">
        <v>11.85</v>
      </c>
      <c r="J45" s="25">
        <v>3011</v>
      </c>
      <c r="K45" s="81">
        <v>5.87</v>
      </c>
      <c r="L45" s="25">
        <v>2839</v>
      </c>
      <c r="M45" s="81">
        <v>16.11</v>
      </c>
      <c r="N45" s="25">
        <v>2257</v>
      </c>
      <c r="O45" s="81">
        <v>-0.79</v>
      </c>
      <c r="P45" s="25">
        <v>3578</v>
      </c>
      <c r="Q45" s="81">
        <v>16.66</v>
      </c>
    </row>
    <row r="46" spans="1:17" s="95" customFormat="1" ht="12" customHeight="1" x14ac:dyDescent="0.4">
      <c r="A46" s="21" t="s">
        <v>45</v>
      </c>
      <c r="B46" s="22">
        <v>2373</v>
      </c>
      <c r="C46" s="78">
        <v>-18.059999999999999</v>
      </c>
      <c r="D46" s="22">
        <v>2305</v>
      </c>
      <c r="E46" s="78">
        <v>-0.95</v>
      </c>
      <c r="F46" s="22">
        <v>2986</v>
      </c>
      <c r="G46" s="78">
        <v>-5.15</v>
      </c>
      <c r="H46" s="23">
        <v>1388</v>
      </c>
      <c r="I46" s="79">
        <v>-18.54</v>
      </c>
      <c r="J46" s="22">
        <v>2214</v>
      </c>
      <c r="K46" s="78">
        <v>-13.55</v>
      </c>
      <c r="L46" s="22">
        <v>3050</v>
      </c>
      <c r="M46" s="78">
        <v>-0.23</v>
      </c>
      <c r="N46" s="22">
        <v>2193</v>
      </c>
      <c r="O46" s="78">
        <v>-16.170000000000002</v>
      </c>
      <c r="P46" s="23">
        <v>2138</v>
      </c>
      <c r="Q46" s="79">
        <v>-11.62</v>
      </c>
    </row>
    <row r="47" spans="1:17" s="95" customFormat="1" ht="12" customHeight="1" x14ac:dyDescent="0.4">
      <c r="A47" s="30" t="s">
        <v>46</v>
      </c>
      <c r="B47" s="31">
        <v>1338</v>
      </c>
      <c r="C47" s="82">
        <v>-10.14</v>
      </c>
      <c r="D47" s="31">
        <v>1731</v>
      </c>
      <c r="E47" s="82">
        <v>3.16</v>
      </c>
      <c r="F47" s="31">
        <v>2013</v>
      </c>
      <c r="G47" s="82">
        <v>2.23</v>
      </c>
      <c r="H47" s="31">
        <v>1120</v>
      </c>
      <c r="I47" s="82">
        <v>-15.92</v>
      </c>
      <c r="J47" s="31">
        <v>1180</v>
      </c>
      <c r="K47" s="82">
        <v>-8.4600000000000009</v>
      </c>
      <c r="L47" s="31">
        <v>2148</v>
      </c>
      <c r="M47" s="82">
        <v>-8.8699999999999992</v>
      </c>
      <c r="N47" s="89">
        <v>1116</v>
      </c>
      <c r="O47" s="111" t="s">
        <v>64</v>
      </c>
      <c r="P47" s="31">
        <v>960</v>
      </c>
      <c r="Q47" s="82">
        <v>-14.29</v>
      </c>
    </row>
    <row r="48" spans="1:17" s="95" customFormat="1" ht="12" customHeight="1" x14ac:dyDescent="0.4">
      <c r="A48" s="117" t="s">
        <v>65</v>
      </c>
      <c r="B48" s="118"/>
      <c r="C48" s="119"/>
      <c r="D48" s="118"/>
      <c r="E48" s="119"/>
      <c r="F48" s="118"/>
      <c r="G48" s="119"/>
      <c r="H48" s="118"/>
      <c r="I48" s="119"/>
      <c r="J48" s="118"/>
      <c r="K48" s="119"/>
      <c r="L48" s="118"/>
      <c r="M48" s="119"/>
      <c r="N48" s="118"/>
      <c r="O48" s="119"/>
      <c r="P48" s="118"/>
      <c r="Q48" s="119"/>
    </row>
    <row r="49" spans="1:25" s="95" customFormat="1" ht="12" customHeight="1" x14ac:dyDescent="0.4">
      <c r="A49" s="15" t="s">
        <v>66</v>
      </c>
      <c r="B49" s="32">
        <v>3909</v>
      </c>
      <c r="C49" s="85">
        <v>0.33</v>
      </c>
      <c r="D49" s="32">
        <v>3601</v>
      </c>
      <c r="E49" s="85">
        <v>2.13</v>
      </c>
      <c r="F49" s="32">
        <v>4280</v>
      </c>
      <c r="G49" s="85">
        <v>0</v>
      </c>
      <c r="H49" s="32">
        <v>3950</v>
      </c>
      <c r="I49" s="85">
        <v>0.2</v>
      </c>
      <c r="J49" s="32">
        <v>3860</v>
      </c>
      <c r="K49" s="85">
        <v>0.39</v>
      </c>
      <c r="L49" s="32">
        <v>3978</v>
      </c>
      <c r="M49" s="85">
        <v>0</v>
      </c>
      <c r="N49" s="32">
        <v>3978</v>
      </c>
      <c r="O49" s="85">
        <v>-0.3</v>
      </c>
      <c r="P49" s="32">
        <v>4058</v>
      </c>
      <c r="Q49" s="85">
        <v>2.11</v>
      </c>
    </row>
    <row r="50" spans="1:25" s="95" customFormat="1" ht="12" customHeight="1" x14ac:dyDescent="0.4">
      <c r="A50" s="33" t="s">
        <v>67</v>
      </c>
      <c r="B50" s="91" t="s">
        <v>61</v>
      </c>
      <c r="C50" s="112" t="s">
        <v>61</v>
      </c>
      <c r="D50" s="34">
        <v>3544</v>
      </c>
      <c r="E50" s="84" t="s">
        <v>64</v>
      </c>
      <c r="F50" s="34">
        <v>4304</v>
      </c>
      <c r="G50" s="84">
        <v>0.84</v>
      </c>
      <c r="H50" s="34">
        <v>4406</v>
      </c>
      <c r="I50" s="84">
        <v>-1.54</v>
      </c>
      <c r="J50" s="34">
        <v>4547</v>
      </c>
      <c r="K50" s="84">
        <v>1.79</v>
      </c>
      <c r="L50" s="34">
        <v>3981</v>
      </c>
      <c r="M50" s="84">
        <v>-3.44</v>
      </c>
      <c r="N50" s="34">
        <v>4093</v>
      </c>
      <c r="O50" s="84">
        <v>2.0699999999999998</v>
      </c>
      <c r="P50" s="34">
        <v>4640</v>
      </c>
      <c r="Q50" s="84">
        <v>12.62</v>
      </c>
    </row>
    <row r="51" spans="1:25" s="95" customFormat="1" ht="12" customHeight="1" x14ac:dyDescent="0.4">
      <c r="A51" s="15" t="s">
        <v>68</v>
      </c>
      <c r="B51" s="32">
        <v>7638</v>
      </c>
      <c r="C51" s="85">
        <v>-2.82</v>
      </c>
      <c r="D51" s="32">
        <v>8528</v>
      </c>
      <c r="E51" s="85">
        <v>-7.63</v>
      </c>
      <c r="F51" s="32">
        <v>7957</v>
      </c>
      <c r="G51" s="85">
        <v>0.65</v>
      </c>
      <c r="H51" s="32">
        <v>8406</v>
      </c>
      <c r="I51" s="85">
        <v>-0.81</v>
      </c>
      <c r="J51" s="32">
        <v>7583</v>
      </c>
      <c r="K51" s="85">
        <v>-2.78</v>
      </c>
      <c r="L51" s="32">
        <v>7833</v>
      </c>
      <c r="M51" s="85">
        <v>-0.53</v>
      </c>
      <c r="N51" s="32">
        <v>8013</v>
      </c>
      <c r="O51" s="85">
        <v>-15.92</v>
      </c>
      <c r="P51" s="32">
        <v>9530</v>
      </c>
      <c r="Q51" s="85">
        <v>-2.85</v>
      </c>
    </row>
    <row r="52" spans="1:25" s="95" customFormat="1" ht="12" customHeight="1" x14ac:dyDescent="0.4">
      <c r="A52" s="33" t="s">
        <v>69</v>
      </c>
      <c r="B52" s="91" t="s">
        <v>61</v>
      </c>
      <c r="C52" s="112" t="s">
        <v>61</v>
      </c>
      <c r="D52" s="34">
        <v>9438</v>
      </c>
      <c r="E52" s="84">
        <v>1.23</v>
      </c>
      <c r="F52" s="34">
        <v>7438</v>
      </c>
      <c r="G52" s="84">
        <v>2.16</v>
      </c>
      <c r="H52" s="91" t="s">
        <v>61</v>
      </c>
      <c r="I52" s="112" t="s">
        <v>61</v>
      </c>
      <c r="J52" s="91" t="s">
        <v>61</v>
      </c>
      <c r="K52" s="112" t="s">
        <v>61</v>
      </c>
      <c r="L52" s="34">
        <v>6851</v>
      </c>
      <c r="M52" s="84">
        <v>-3.51</v>
      </c>
      <c r="N52" s="34">
        <v>7243</v>
      </c>
      <c r="O52" s="84">
        <v>2.29</v>
      </c>
      <c r="P52" s="34">
        <v>6890</v>
      </c>
      <c r="Q52" s="84">
        <v>0.28999999999999998</v>
      </c>
    </row>
    <row r="53" spans="1:25" s="95" customFormat="1" ht="12" customHeight="1" x14ac:dyDescent="0.4">
      <c r="A53" s="15" t="s">
        <v>70</v>
      </c>
      <c r="B53" s="32">
        <v>6729</v>
      </c>
      <c r="C53" s="85">
        <v>3.73</v>
      </c>
      <c r="D53" s="32">
        <v>6638</v>
      </c>
      <c r="E53" s="85">
        <v>5.18</v>
      </c>
      <c r="F53" s="32">
        <v>7145</v>
      </c>
      <c r="G53" s="85">
        <v>0.14000000000000001</v>
      </c>
      <c r="H53" s="32">
        <v>7063</v>
      </c>
      <c r="I53" s="85">
        <v>0.54</v>
      </c>
      <c r="J53" s="32">
        <v>6650</v>
      </c>
      <c r="K53" s="85">
        <v>3.37</v>
      </c>
      <c r="L53" s="32">
        <v>6719</v>
      </c>
      <c r="M53" s="85">
        <v>0.21</v>
      </c>
      <c r="N53" s="32">
        <v>6767</v>
      </c>
      <c r="O53" s="85">
        <v>0.13</v>
      </c>
      <c r="P53" s="32">
        <v>6970</v>
      </c>
      <c r="Q53" s="85">
        <v>-0.56999999999999995</v>
      </c>
    </row>
    <row r="54" spans="1:25" s="95" customFormat="1" ht="12" customHeight="1" x14ac:dyDescent="0.4">
      <c r="A54" s="33" t="s">
        <v>71</v>
      </c>
      <c r="B54" s="34">
        <v>2195</v>
      </c>
      <c r="C54" s="84">
        <v>0.05</v>
      </c>
      <c r="D54" s="34">
        <v>2279</v>
      </c>
      <c r="E54" s="84">
        <v>-1.21</v>
      </c>
      <c r="F54" s="91" t="s">
        <v>61</v>
      </c>
      <c r="G54" s="112" t="s">
        <v>61</v>
      </c>
      <c r="H54" s="34">
        <v>2479</v>
      </c>
      <c r="I54" s="86">
        <v>-10.99</v>
      </c>
      <c r="J54" s="34">
        <v>2342</v>
      </c>
      <c r="K54" s="84">
        <v>-1.39</v>
      </c>
      <c r="L54" s="34">
        <v>3110</v>
      </c>
      <c r="M54" s="84">
        <v>2.95</v>
      </c>
      <c r="N54" s="34">
        <v>2284</v>
      </c>
      <c r="O54" s="84">
        <v>-6.39</v>
      </c>
      <c r="P54" s="34">
        <v>2479</v>
      </c>
      <c r="Q54" s="84">
        <v>-1.04</v>
      </c>
    </row>
    <row r="55" spans="1:25" s="95" customFormat="1" ht="12" customHeight="1" x14ac:dyDescent="0.4">
      <c r="A55" s="15" t="s">
        <v>72</v>
      </c>
      <c r="B55" s="101" t="s">
        <v>61</v>
      </c>
      <c r="C55" s="113" t="s">
        <v>61</v>
      </c>
      <c r="D55" s="32">
        <v>560</v>
      </c>
      <c r="E55" s="87">
        <v>0.54</v>
      </c>
      <c r="F55" s="101" t="s">
        <v>61</v>
      </c>
      <c r="G55" s="113" t="s">
        <v>61</v>
      </c>
      <c r="H55" s="32">
        <v>589</v>
      </c>
      <c r="I55" s="85">
        <v>0.51</v>
      </c>
      <c r="J55" s="32">
        <v>578</v>
      </c>
      <c r="K55" s="85">
        <v>-0.86</v>
      </c>
      <c r="L55" s="32">
        <v>528</v>
      </c>
      <c r="M55" s="85">
        <v>-0.56000000000000005</v>
      </c>
      <c r="N55" s="32">
        <v>508</v>
      </c>
      <c r="O55" s="85">
        <v>-6.1</v>
      </c>
      <c r="P55" s="32">
        <v>596</v>
      </c>
      <c r="Q55" s="85">
        <v>-3.4</v>
      </c>
    </row>
    <row r="56" spans="1:25" s="97" customFormat="1" ht="12" customHeight="1" x14ac:dyDescent="0.45">
      <c r="A56" s="33" t="s">
        <v>73</v>
      </c>
      <c r="B56" s="34">
        <v>18500</v>
      </c>
      <c r="C56" s="84">
        <v>7.56</v>
      </c>
      <c r="D56" s="34">
        <v>21667</v>
      </c>
      <c r="E56" s="84">
        <v>2.2799999999999998</v>
      </c>
      <c r="F56" s="34">
        <v>22250</v>
      </c>
      <c r="G56" s="84">
        <v>3.25</v>
      </c>
      <c r="H56" s="34">
        <v>19917</v>
      </c>
      <c r="I56" s="84">
        <v>9.33</v>
      </c>
      <c r="J56" s="34">
        <v>21333</v>
      </c>
      <c r="K56" s="84">
        <v>16.100000000000001</v>
      </c>
      <c r="L56" s="34">
        <v>24700</v>
      </c>
      <c r="M56" s="84">
        <v>11.64</v>
      </c>
      <c r="N56" s="34">
        <v>22000</v>
      </c>
      <c r="O56" s="84">
        <v>-5.4</v>
      </c>
      <c r="P56" s="91" t="s">
        <v>61</v>
      </c>
      <c r="Q56" s="112" t="s">
        <v>61</v>
      </c>
      <c r="R56" s="130"/>
      <c r="S56" s="81"/>
      <c r="T56" s="130"/>
      <c r="U56" s="81"/>
      <c r="V56" s="130"/>
      <c r="W56" s="80"/>
      <c r="X56" s="130"/>
      <c r="Y56" s="81"/>
    </row>
    <row r="57" spans="1:25" s="38" customFormat="1" ht="12" customHeight="1" x14ac:dyDescent="0.45">
      <c r="A57" s="15" t="s">
        <v>74</v>
      </c>
      <c r="B57" s="32" t="s">
        <v>61</v>
      </c>
      <c r="C57" s="85" t="s">
        <v>61</v>
      </c>
      <c r="D57" s="32">
        <v>19471</v>
      </c>
      <c r="E57" s="85">
        <v>4.38</v>
      </c>
      <c r="F57" s="101" t="s">
        <v>61</v>
      </c>
      <c r="G57" s="113" t="s">
        <v>61</v>
      </c>
      <c r="H57" s="32" t="s">
        <v>61</v>
      </c>
      <c r="I57" s="123" t="s">
        <v>61</v>
      </c>
      <c r="J57" s="32">
        <v>22465</v>
      </c>
      <c r="K57" s="85">
        <v>4.49</v>
      </c>
      <c r="L57" s="32">
        <v>20146</v>
      </c>
      <c r="M57" s="85">
        <v>3.05</v>
      </c>
      <c r="N57" s="32">
        <v>21809</v>
      </c>
      <c r="O57" s="85">
        <v>1.75</v>
      </c>
      <c r="P57" s="32">
        <v>21500</v>
      </c>
      <c r="Q57" s="85">
        <v>7.5</v>
      </c>
      <c r="S57" s="88"/>
      <c r="U57" s="88"/>
      <c r="W57" s="88"/>
      <c r="Y57" s="88"/>
    </row>
    <row r="58" spans="1:25" s="38" customFormat="1" ht="12" customHeight="1" x14ac:dyDescent="0.45">
      <c r="A58" s="33" t="s">
        <v>75</v>
      </c>
      <c r="B58" s="34">
        <v>39583</v>
      </c>
      <c r="C58" s="84">
        <v>-3.77</v>
      </c>
      <c r="D58" s="34">
        <v>44169</v>
      </c>
      <c r="E58" s="84">
        <v>6.38</v>
      </c>
      <c r="F58" s="34">
        <v>80900</v>
      </c>
      <c r="G58" s="84">
        <v>0</v>
      </c>
      <c r="H58" s="34">
        <v>43944</v>
      </c>
      <c r="I58" s="84">
        <v>-1.62</v>
      </c>
      <c r="J58" s="74" t="s">
        <v>61</v>
      </c>
      <c r="K58" s="98" t="s">
        <v>61</v>
      </c>
      <c r="L58" s="34">
        <v>35000</v>
      </c>
      <c r="M58" s="84">
        <v>2.34</v>
      </c>
      <c r="N58" s="34">
        <v>59813</v>
      </c>
      <c r="O58" s="84">
        <v>2.23</v>
      </c>
      <c r="P58" s="34">
        <v>35750</v>
      </c>
      <c r="Q58" s="84">
        <v>0</v>
      </c>
      <c r="S58" s="88"/>
      <c r="U58" s="88"/>
      <c r="W58" s="88"/>
      <c r="Y58" s="88"/>
    </row>
    <row r="59" spans="1:25" s="38" customFormat="1" ht="12" customHeight="1" x14ac:dyDescent="0.45">
      <c r="A59" s="15" t="s">
        <v>76</v>
      </c>
      <c r="B59" s="32">
        <v>11233</v>
      </c>
      <c r="C59" s="85">
        <v>-1.35</v>
      </c>
      <c r="D59" s="32">
        <v>15679</v>
      </c>
      <c r="E59" s="85">
        <v>2.95</v>
      </c>
      <c r="F59" s="32">
        <v>16833</v>
      </c>
      <c r="G59" s="85">
        <v>0.27</v>
      </c>
      <c r="H59" s="32">
        <v>12400</v>
      </c>
      <c r="I59" s="85">
        <v>1.27</v>
      </c>
      <c r="J59" s="32">
        <v>13395</v>
      </c>
      <c r="K59" s="85">
        <v>1.67</v>
      </c>
      <c r="L59" s="32">
        <v>12600</v>
      </c>
      <c r="M59" s="85">
        <v>-0.06</v>
      </c>
      <c r="N59" s="32">
        <v>14556</v>
      </c>
      <c r="O59" s="85">
        <v>-1.72</v>
      </c>
      <c r="P59" s="101" t="s">
        <v>61</v>
      </c>
      <c r="Q59" s="113" t="s">
        <v>61</v>
      </c>
      <c r="S59" s="88"/>
      <c r="U59" s="88"/>
      <c r="W59" s="88"/>
      <c r="Y59" s="88"/>
    </row>
    <row r="60" spans="1:25" s="38" customFormat="1" ht="12" customHeight="1" x14ac:dyDescent="0.45">
      <c r="A60" s="33" t="s">
        <v>77</v>
      </c>
      <c r="B60" s="34">
        <v>8896</v>
      </c>
      <c r="C60" s="84">
        <v>-2.37</v>
      </c>
      <c r="D60" s="114">
        <v>3217</v>
      </c>
      <c r="E60" s="121">
        <v>9.8699999999999992</v>
      </c>
      <c r="F60" s="34">
        <v>8184</v>
      </c>
      <c r="G60" s="84">
        <v>-0.27</v>
      </c>
      <c r="H60" s="34">
        <v>9271</v>
      </c>
      <c r="I60" s="86">
        <v>-0.04</v>
      </c>
      <c r="J60" s="34">
        <v>12205</v>
      </c>
      <c r="K60" s="84">
        <v>3.4</v>
      </c>
      <c r="L60" s="91" t="s">
        <v>61</v>
      </c>
      <c r="M60" s="112" t="s">
        <v>61</v>
      </c>
      <c r="N60" s="34">
        <v>7228</v>
      </c>
      <c r="O60" s="84">
        <v>-4.42</v>
      </c>
      <c r="P60" s="34">
        <v>9105</v>
      </c>
      <c r="Q60" s="84">
        <v>0</v>
      </c>
      <c r="S60" s="88"/>
      <c r="U60" s="88"/>
      <c r="W60" s="88"/>
      <c r="Y60" s="88"/>
    </row>
    <row r="61" spans="1:25" s="38" customFormat="1" ht="12" customHeight="1" x14ac:dyDescent="0.45">
      <c r="A61" s="15" t="s">
        <v>78</v>
      </c>
      <c r="B61" s="32">
        <v>4065</v>
      </c>
      <c r="C61" s="85">
        <v>8.52</v>
      </c>
      <c r="D61" s="32">
        <v>4640</v>
      </c>
      <c r="E61" s="85">
        <v>4.2699999999999996</v>
      </c>
      <c r="F61" s="32">
        <v>4200</v>
      </c>
      <c r="G61" s="85">
        <v>7.0000000000000007E-2</v>
      </c>
      <c r="H61" s="32">
        <v>4089</v>
      </c>
      <c r="I61" s="85">
        <v>-6.54</v>
      </c>
      <c r="J61" s="32">
        <v>4475</v>
      </c>
      <c r="K61" s="85">
        <v>1.89</v>
      </c>
      <c r="L61" s="101" t="s">
        <v>61</v>
      </c>
      <c r="M61" s="113" t="s">
        <v>61</v>
      </c>
      <c r="N61" s="32">
        <v>4433</v>
      </c>
      <c r="O61" s="85">
        <v>0.98</v>
      </c>
      <c r="P61" s="101" t="s">
        <v>61</v>
      </c>
      <c r="Q61" s="113" t="s">
        <v>61</v>
      </c>
      <c r="S61" s="88"/>
      <c r="U61" s="88"/>
      <c r="W61" s="88"/>
      <c r="Y61" s="88"/>
    </row>
    <row r="62" spans="1:25" s="38" customFormat="1" ht="12" customHeight="1" x14ac:dyDescent="0.45">
      <c r="A62" s="33" t="s">
        <v>79</v>
      </c>
      <c r="B62" s="34">
        <v>13097</v>
      </c>
      <c r="C62" s="84">
        <v>12.33</v>
      </c>
      <c r="D62" s="34">
        <v>14966</v>
      </c>
      <c r="E62" s="84">
        <v>14.49</v>
      </c>
      <c r="F62" s="34">
        <v>15226</v>
      </c>
      <c r="G62" s="84">
        <v>2.57</v>
      </c>
      <c r="H62" s="34">
        <v>13447</v>
      </c>
      <c r="I62" s="84">
        <v>1.36</v>
      </c>
      <c r="J62" s="34">
        <v>15817</v>
      </c>
      <c r="K62" s="84">
        <v>5.33</v>
      </c>
      <c r="L62" s="34">
        <v>15681</v>
      </c>
      <c r="M62" s="98">
        <v>2.16</v>
      </c>
      <c r="N62" s="34">
        <v>13758</v>
      </c>
      <c r="O62" s="84">
        <v>4.93</v>
      </c>
      <c r="P62" s="34">
        <v>18209</v>
      </c>
      <c r="Q62" s="84">
        <v>0.01</v>
      </c>
      <c r="S62" s="88"/>
      <c r="U62" s="88"/>
      <c r="W62" s="88"/>
      <c r="Y62" s="88"/>
    </row>
    <row r="63" spans="1:25" s="38" customFormat="1" ht="12" customHeight="1" x14ac:dyDescent="0.45">
      <c r="A63" s="15" t="s">
        <v>80</v>
      </c>
      <c r="B63" s="32">
        <v>2857</v>
      </c>
      <c r="C63" s="85">
        <v>-6.45</v>
      </c>
      <c r="D63" s="32">
        <v>3288</v>
      </c>
      <c r="E63" s="85">
        <v>-1.85</v>
      </c>
      <c r="F63" s="32">
        <v>4053</v>
      </c>
      <c r="G63" s="85">
        <v>-2.97</v>
      </c>
      <c r="H63" s="32">
        <v>3084</v>
      </c>
      <c r="I63" s="85">
        <v>-2.59</v>
      </c>
      <c r="J63" s="32">
        <v>5227</v>
      </c>
      <c r="K63" s="85">
        <v>3.85</v>
      </c>
      <c r="L63" s="32">
        <v>3427</v>
      </c>
      <c r="M63" s="102">
        <v>-8</v>
      </c>
      <c r="N63" s="32">
        <v>3922</v>
      </c>
      <c r="O63" s="85">
        <v>-4.8499999999999996</v>
      </c>
      <c r="P63" s="32">
        <v>4487</v>
      </c>
      <c r="Q63" s="85">
        <v>2.2599999999999998</v>
      </c>
      <c r="S63" s="88"/>
      <c r="U63" s="88"/>
      <c r="W63" s="88"/>
      <c r="Y63" s="88"/>
    </row>
    <row r="64" spans="1:25" s="38" customFormat="1" ht="12" customHeight="1" x14ac:dyDescent="0.45">
      <c r="A64" s="33" t="s">
        <v>81</v>
      </c>
      <c r="B64" s="34">
        <v>3252</v>
      </c>
      <c r="C64" s="84">
        <v>-9.8699999999999992</v>
      </c>
      <c r="D64" s="34">
        <v>3991</v>
      </c>
      <c r="E64" s="98">
        <v>-7.44</v>
      </c>
      <c r="F64" s="34">
        <v>3389</v>
      </c>
      <c r="G64" s="84">
        <v>0</v>
      </c>
      <c r="H64" s="34">
        <v>4086</v>
      </c>
      <c r="I64" s="84">
        <v>-1.85</v>
      </c>
      <c r="J64" s="34">
        <v>5347</v>
      </c>
      <c r="K64" s="86">
        <v>0.32</v>
      </c>
      <c r="L64" s="34">
        <v>3177</v>
      </c>
      <c r="M64" s="84">
        <v>-2.13</v>
      </c>
      <c r="N64" s="34" t="s">
        <v>61</v>
      </c>
      <c r="O64" s="112" t="s">
        <v>61</v>
      </c>
      <c r="P64" s="34">
        <v>4226</v>
      </c>
      <c r="Q64" s="84">
        <v>1.03</v>
      </c>
      <c r="S64" s="88"/>
      <c r="U64" s="88"/>
      <c r="W64" s="88"/>
      <c r="Y64" s="88"/>
    </row>
    <row r="65" spans="1:25" s="38" customFormat="1" ht="12" customHeight="1" x14ac:dyDescent="0.45">
      <c r="A65" s="15" t="s">
        <v>82</v>
      </c>
      <c r="B65" s="32">
        <v>33493</v>
      </c>
      <c r="C65" s="85">
        <v>-0.08</v>
      </c>
      <c r="D65" s="32">
        <v>33487</v>
      </c>
      <c r="E65" s="87">
        <v>1.55</v>
      </c>
      <c r="F65" s="32" t="s">
        <v>61</v>
      </c>
      <c r="G65" s="113" t="s">
        <v>61</v>
      </c>
      <c r="H65" s="32">
        <v>33594</v>
      </c>
      <c r="I65" s="85">
        <v>1.63</v>
      </c>
      <c r="J65" s="32">
        <v>34838</v>
      </c>
      <c r="K65" s="87">
        <v>0.67</v>
      </c>
      <c r="L65" s="32" t="s">
        <v>61</v>
      </c>
      <c r="M65" s="113" t="s">
        <v>61</v>
      </c>
      <c r="N65" s="32">
        <v>32222</v>
      </c>
      <c r="O65" s="85">
        <v>0.74</v>
      </c>
      <c r="P65" s="32" t="s">
        <v>61</v>
      </c>
      <c r="Q65" s="113" t="s">
        <v>61</v>
      </c>
      <c r="S65" s="88"/>
      <c r="U65" s="88"/>
      <c r="W65" s="88"/>
      <c r="Y65" s="88"/>
    </row>
    <row r="66" spans="1:25" s="38" customFormat="1" ht="12" customHeight="1" x14ac:dyDescent="0.45">
      <c r="A66" s="33" t="s">
        <v>83</v>
      </c>
      <c r="B66" s="34">
        <v>38859</v>
      </c>
      <c r="C66" s="121">
        <v>-0.03</v>
      </c>
      <c r="D66" s="34">
        <v>29907</v>
      </c>
      <c r="E66" s="84">
        <v>4.1100000000000003</v>
      </c>
      <c r="F66" s="34">
        <v>35554</v>
      </c>
      <c r="G66" s="84">
        <v>1.0900000000000001</v>
      </c>
      <c r="H66" s="106" t="s">
        <v>61</v>
      </c>
      <c r="I66" s="112" t="s">
        <v>61</v>
      </c>
      <c r="J66" s="34">
        <v>30076</v>
      </c>
      <c r="K66" s="84">
        <v>-1.67</v>
      </c>
      <c r="L66" s="34">
        <v>30310</v>
      </c>
      <c r="M66" s="84">
        <v>-1.36</v>
      </c>
      <c r="N66" s="34">
        <v>32889</v>
      </c>
      <c r="O66" s="84">
        <v>1.68</v>
      </c>
      <c r="P66" s="34">
        <v>38310</v>
      </c>
      <c r="Q66" s="84">
        <v>0</v>
      </c>
      <c r="S66" s="88"/>
      <c r="U66" s="88"/>
      <c r="W66" s="88"/>
      <c r="Y66" s="88"/>
    </row>
    <row r="67" spans="1:25" s="38" customFormat="1" ht="12" customHeight="1" x14ac:dyDescent="0.45">
      <c r="A67" s="15" t="s">
        <v>84</v>
      </c>
      <c r="B67" s="107">
        <v>16839</v>
      </c>
      <c r="C67" s="102">
        <v>0.47</v>
      </c>
      <c r="D67" s="32">
        <v>14907</v>
      </c>
      <c r="E67" s="85">
        <v>4.21</v>
      </c>
      <c r="F67" s="32">
        <v>17050</v>
      </c>
      <c r="G67" s="85">
        <v>0</v>
      </c>
      <c r="H67" s="101" t="s">
        <v>61</v>
      </c>
      <c r="I67" s="113" t="s">
        <v>61</v>
      </c>
      <c r="J67" s="32">
        <v>26458</v>
      </c>
      <c r="K67" s="85">
        <v>0.63</v>
      </c>
      <c r="L67" s="105" t="s">
        <v>61</v>
      </c>
      <c r="M67" s="113" t="s">
        <v>61</v>
      </c>
      <c r="N67" s="32">
        <v>14381</v>
      </c>
      <c r="O67" s="85">
        <v>-0.55000000000000004</v>
      </c>
      <c r="P67" s="32">
        <v>20272</v>
      </c>
      <c r="Q67" s="85">
        <v>-0.02</v>
      </c>
      <c r="R67" s="131"/>
      <c r="S67" s="40"/>
      <c r="T67" s="131"/>
      <c r="U67" s="40"/>
      <c r="V67" s="131"/>
      <c r="W67" s="40"/>
      <c r="X67" s="131"/>
      <c r="Y67" s="40"/>
    </row>
    <row r="68" spans="1:25" s="38" customFormat="1" ht="12" customHeight="1" x14ac:dyDescent="0.45">
      <c r="A68" s="33" t="s">
        <v>85</v>
      </c>
      <c r="B68" s="34">
        <v>4351</v>
      </c>
      <c r="C68" s="84">
        <v>5.81</v>
      </c>
      <c r="D68" s="34">
        <v>3396</v>
      </c>
      <c r="E68" s="84">
        <v>7.26</v>
      </c>
      <c r="F68" s="34">
        <v>3643</v>
      </c>
      <c r="G68" s="84">
        <v>0</v>
      </c>
      <c r="H68" s="91" t="s">
        <v>61</v>
      </c>
      <c r="I68" s="112" t="s">
        <v>61</v>
      </c>
      <c r="J68" s="34">
        <v>5458</v>
      </c>
      <c r="K68" s="84">
        <v>2.21</v>
      </c>
      <c r="L68" s="114">
        <v>3175</v>
      </c>
      <c r="M68" s="98">
        <v>-0.13</v>
      </c>
      <c r="N68" s="34">
        <v>4290</v>
      </c>
      <c r="O68" s="84">
        <v>-0.26</v>
      </c>
      <c r="P68" s="34">
        <v>4811</v>
      </c>
      <c r="Q68" s="84">
        <v>0.31</v>
      </c>
      <c r="R68" s="131"/>
      <c r="S68" s="40"/>
      <c r="T68" s="131"/>
      <c r="U68" s="40"/>
      <c r="V68" s="131"/>
      <c r="W68" s="40"/>
      <c r="X68" s="131"/>
      <c r="Y68" s="40"/>
    </row>
    <row r="69" spans="1:25" s="38" customFormat="1" ht="12" customHeight="1" x14ac:dyDescent="0.45">
      <c r="A69" s="15" t="s">
        <v>86</v>
      </c>
      <c r="B69" s="32">
        <v>6896</v>
      </c>
      <c r="C69" s="85">
        <v>-0.28999999999999998</v>
      </c>
      <c r="D69" s="32">
        <v>7585</v>
      </c>
      <c r="E69" s="85">
        <v>3.72</v>
      </c>
      <c r="F69" s="32">
        <v>7413</v>
      </c>
      <c r="G69" s="85">
        <v>-0.46</v>
      </c>
      <c r="H69" s="32">
        <v>6635</v>
      </c>
      <c r="I69" s="85">
        <v>0.91</v>
      </c>
      <c r="J69" s="32">
        <v>7708</v>
      </c>
      <c r="K69" s="85">
        <v>4.22</v>
      </c>
      <c r="L69" s="32">
        <v>3919</v>
      </c>
      <c r="M69" s="85">
        <v>-2.2000000000000002</v>
      </c>
      <c r="N69" s="32">
        <v>8009</v>
      </c>
      <c r="O69" s="85">
        <v>2.56</v>
      </c>
      <c r="P69" s="32">
        <v>6852</v>
      </c>
      <c r="Q69" s="85">
        <v>0</v>
      </c>
      <c r="R69" s="131"/>
      <c r="S69" s="40"/>
      <c r="T69" s="131"/>
      <c r="U69" s="40"/>
      <c r="V69" s="131"/>
      <c r="W69" s="40"/>
      <c r="X69" s="131"/>
      <c r="Y69" s="40"/>
    </row>
    <row r="70" spans="1:25" s="38" customFormat="1" ht="12" customHeight="1" x14ac:dyDescent="0.45">
      <c r="A70" s="33" t="s">
        <v>87</v>
      </c>
      <c r="B70" s="34">
        <v>18559</v>
      </c>
      <c r="C70" s="84">
        <v>1.22</v>
      </c>
      <c r="D70" s="106">
        <v>19123</v>
      </c>
      <c r="E70" s="112">
        <v>11.48</v>
      </c>
      <c r="F70" s="34">
        <v>14835</v>
      </c>
      <c r="G70" s="84">
        <v>-0.05</v>
      </c>
      <c r="H70" s="34">
        <v>17817</v>
      </c>
      <c r="I70" s="84">
        <v>-0.27</v>
      </c>
      <c r="J70" s="34">
        <v>21123</v>
      </c>
      <c r="K70" s="84">
        <v>1.1100000000000001</v>
      </c>
      <c r="L70" s="34">
        <v>13905</v>
      </c>
      <c r="M70" s="84">
        <v>-1.62</v>
      </c>
      <c r="N70" s="34">
        <v>20181</v>
      </c>
      <c r="O70" s="84">
        <v>0.68</v>
      </c>
      <c r="P70" s="34" t="s">
        <v>61</v>
      </c>
      <c r="Q70" s="84" t="s">
        <v>61</v>
      </c>
      <c r="R70" s="131"/>
      <c r="S70" s="40"/>
      <c r="T70" s="131"/>
      <c r="U70" s="40"/>
      <c r="V70" s="131"/>
      <c r="W70" s="40"/>
      <c r="X70" s="131"/>
      <c r="Y70" s="40"/>
    </row>
    <row r="71" spans="1:25" s="38" customFormat="1" ht="12" customHeight="1" x14ac:dyDescent="0.45">
      <c r="A71" s="134" t="s">
        <v>88</v>
      </c>
      <c r="B71" s="135">
        <v>14636</v>
      </c>
      <c r="C71" s="136">
        <v>-4.1399999999999997</v>
      </c>
      <c r="D71" s="137">
        <v>17689</v>
      </c>
      <c r="E71" s="138">
        <v>5.89</v>
      </c>
      <c r="F71" s="139" t="s">
        <v>61</v>
      </c>
      <c r="G71" s="140" t="s">
        <v>61</v>
      </c>
      <c r="H71" s="135">
        <v>11233</v>
      </c>
      <c r="I71" s="136">
        <v>-3.67</v>
      </c>
      <c r="J71" s="135">
        <v>14175</v>
      </c>
      <c r="K71" s="136">
        <v>2.5099999999999998</v>
      </c>
      <c r="L71" s="137">
        <v>17533</v>
      </c>
      <c r="M71" s="141">
        <v>-5.46</v>
      </c>
      <c r="N71" s="139">
        <v>9896</v>
      </c>
      <c r="O71" s="140">
        <v>-8.51</v>
      </c>
      <c r="P71" s="135">
        <v>17554</v>
      </c>
      <c r="Q71" s="136">
        <v>0.01</v>
      </c>
      <c r="S71" s="88"/>
      <c r="U71" s="88"/>
      <c r="W71" s="88"/>
      <c r="Y71" s="88"/>
    </row>
    <row r="72" spans="1:25" s="38" customFormat="1" x14ac:dyDescent="0.45">
      <c r="A72" s="15"/>
      <c r="B72" s="32"/>
      <c r="C72" s="85"/>
      <c r="D72" s="107"/>
      <c r="E72" s="87"/>
      <c r="F72" s="105"/>
      <c r="G72" s="75"/>
      <c r="H72" s="32"/>
      <c r="I72" s="85"/>
      <c r="J72" s="32"/>
      <c r="K72" s="85"/>
      <c r="L72" s="107"/>
      <c r="M72" s="102"/>
      <c r="N72" s="105"/>
      <c r="O72" s="108"/>
      <c r="P72" s="32"/>
      <c r="Q72" s="85"/>
      <c r="R72" s="35"/>
      <c r="S72" s="36"/>
      <c r="T72" s="35"/>
      <c r="U72" s="36"/>
      <c r="V72" s="35"/>
      <c r="W72" s="36"/>
      <c r="X72" s="35"/>
      <c r="Y72" s="36"/>
    </row>
    <row r="73" spans="1:25" s="38" customFormat="1" x14ac:dyDescent="0.45">
      <c r="A73" s="24" t="s">
        <v>12</v>
      </c>
      <c r="B73" s="39"/>
      <c r="C73" s="40"/>
      <c r="D73" s="39"/>
      <c r="E73" s="40"/>
      <c r="F73" s="39"/>
      <c r="G73" s="40"/>
      <c r="H73" s="39"/>
      <c r="I73" s="40"/>
      <c r="J73" s="39"/>
      <c r="K73" s="40"/>
      <c r="L73" s="39"/>
      <c r="M73" s="40"/>
      <c r="N73" s="39"/>
      <c r="O73" s="40"/>
      <c r="P73" s="39"/>
      <c r="Q73" s="40"/>
      <c r="R73" s="39"/>
      <c r="S73" s="40"/>
      <c r="T73" s="39"/>
      <c r="U73" s="40"/>
      <c r="V73" s="39"/>
      <c r="W73" s="40"/>
      <c r="X73" s="39"/>
      <c r="Y73" s="40"/>
    </row>
    <row r="74" spans="1:25" s="38" customFormat="1" x14ac:dyDescent="0.45">
      <c r="A74" s="41" t="s">
        <v>13</v>
      </c>
      <c r="B74" s="39"/>
      <c r="C74" s="40"/>
      <c r="D74" s="39"/>
      <c r="E74" s="40"/>
      <c r="F74" s="39"/>
      <c r="G74" s="40"/>
      <c r="H74" s="39"/>
      <c r="I74" s="40"/>
      <c r="J74" s="39"/>
      <c r="K74" s="40"/>
      <c r="L74" s="39"/>
      <c r="M74" s="40"/>
      <c r="N74" s="39"/>
      <c r="O74" s="40"/>
      <c r="P74" s="39"/>
      <c r="Q74" s="40"/>
      <c r="R74" s="39"/>
      <c r="S74" s="40"/>
      <c r="T74" s="39"/>
      <c r="U74" s="40"/>
      <c r="V74" s="39"/>
      <c r="W74" s="40"/>
      <c r="X74" s="39"/>
      <c r="Y74" s="40"/>
    </row>
    <row r="75" spans="1:25" s="38" customFormat="1" ht="19.5" customHeight="1" x14ac:dyDescent="0.45">
      <c r="A75" s="147" t="s">
        <v>49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</row>
    <row r="76" spans="1:25" s="38" customFormat="1" x14ac:dyDescent="0.45">
      <c r="A76" s="24" t="s">
        <v>14</v>
      </c>
      <c r="B76" s="42"/>
      <c r="C76" s="43"/>
      <c r="D76" s="44"/>
      <c r="E76" s="43"/>
      <c r="F76" s="44"/>
      <c r="G76" s="43"/>
      <c r="H76" s="45"/>
      <c r="I76" s="43"/>
      <c r="J76" s="42"/>
      <c r="K76" s="43"/>
      <c r="L76" s="44"/>
      <c r="M76" s="43"/>
      <c r="N76" s="44"/>
      <c r="O76" s="43"/>
      <c r="P76" s="45"/>
      <c r="Q76" s="43"/>
      <c r="R76" s="44"/>
      <c r="S76" s="46"/>
      <c r="T76" s="44"/>
      <c r="U76" s="46"/>
      <c r="V76" s="44"/>
      <c r="W76" s="46"/>
      <c r="X76" s="44"/>
      <c r="Y76" s="46"/>
    </row>
    <row r="77" spans="1:25" s="38" customFormat="1" x14ac:dyDescent="0.45">
      <c r="A77" s="47" t="s">
        <v>15</v>
      </c>
      <c r="B77" s="39"/>
      <c r="C77" s="40"/>
      <c r="D77" s="39"/>
      <c r="E77" s="40"/>
      <c r="F77" s="39"/>
      <c r="G77" s="40"/>
      <c r="H77" s="39"/>
      <c r="I77" s="40"/>
      <c r="J77" s="39"/>
      <c r="K77" s="40"/>
      <c r="L77" s="39"/>
      <c r="M77" s="40"/>
      <c r="N77" s="39"/>
      <c r="O77" s="40"/>
      <c r="P77" s="39"/>
      <c r="Q77" s="40"/>
      <c r="R77" s="39"/>
      <c r="S77" s="40"/>
      <c r="T77" s="39"/>
      <c r="U77" s="40"/>
      <c r="V77" s="39"/>
      <c r="W77" s="40"/>
      <c r="X77" s="39"/>
      <c r="Y77" s="40"/>
    </row>
    <row r="79" spans="1:25" x14ac:dyDescent="0.45">
      <c r="A79" s="8" t="str">
        <f>+Índice!A13</f>
        <v>Fecha de actualización: 10 de enero de 2024</v>
      </c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</row>
  </sheetData>
  <mergeCells count="11">
    <mergeCell ref="A75:Y75"/>
    <mergeCell ref="A4:Q5"/>
    <mergeCell ref="H9:I9"/>
    <mergeCell ref="J9:K9"/>
    <mergeCell ref="L9:M9"/>
    <mergeCell ref="N9:O9"/>
    <mergeCell ref="P9:Q9"/>
    <mergeCell ref="A9:A10"/>
    <mergeCell ref="B9:C9"/>
    <mergeCell ref="D9:E9"/>
    <mergeCell ref="F9:G9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12-A8C4-4438-9A11-59B020FA0AB4}">
  <dimension ref="A1:I55"/>
  <sheetViews>
    <sheetView showGridLines="0" tabSelected="1" topLeftCell="A8" zoomScale="70" zoomScaleNormal="70" workbookViewId="0">
      <selection activeCell="I45" sqref="A9:I45"/>
    </sheetView>
  </sheetViews>
  <sheetFormatPr baseColWidth="10" defaultColWidth="11.453125" defaultRowHeight="16" x14ac:dyDescent="0.45"/>
  <cols>
    <col min="1" max="1" width="24.453125" style="54" customWidth="1"/>
    <col min="2" max="2" width="12" style="54" bestFit="1" customWidth="1"/>
    <col min="3" max="3" width="9.453125" style="54" customWidth="1"/>
    <col min="4" max="4" width="13.54296875" style="54" bestFit="1" customWidth="1"/>
    <col min="5" max="5" width="12" style="54" customWidth="1"/>
    <col min="6" max="6" width="10.26953125" style="54" customWidth="1"/>
    <col min="7" max="7" width="9.453125" style="54" customWidth="1"/>
    <col min="8" max="8" width="10.54296875" style="54" customWidth="1"/>
    <col min="9" max="9" width="9.26953125" style="54" customWidth="1"/>
    <col min="10" max="16384" width="11.453125" style="54"/>
  </cols>
  <sheetData>
    <row r="1" spans="1:9" s="48" customFormat="1" ht="18" customHeight="1" x14ac:dyDescent="0.4"/>
    <row r="2" spans="1:9" s="48" customFormat="1" ht="33" customHeight="1" x14ac:dyDescent="0.4"/>
    <row r="3" spans="1:9" s="48" customFormat="1" ht="19" customHeight="1" x14ac:dyDescent="0.4"/>
    <row r="4" spans="1:9" s="48" customFormat="1" ht="18.75" customHeight="1" x14ac:dyDescent="0.4">
      <c r="A4" s="154" t="s">
        <v>0</v>
      </c>
      <c r="B4" s="154"/>
      <c r="C4" s="154"/>
      <c r="D4" s="154"/>
      <c r="E4" s="154"/>
      <c r="F4" s="154"/>
      <c r="G4" s="154"/>
      <c r="H4" s="154"/>
      <c r="I4" s="154"/>
    </row>
    <row r="5" spans="1:9" s="48" customFormat="1" ht="24" customHeight="1" x14ac:dyDescent="0.4">
      <c r="A5" s="154"/>
      <c r="B5" s="154"/>
      <c r="C5" s="154"/>
      <c r="D5" s="154"/>
      <c r="E5" s="154"/>
      <c r="F5" s="154"/>
      <c r="G5" s="154"/>
      <c r="H5" s="154"/>
      <c r="I5" s="154"/>
    </row>
    <row r="6" spans="1:9" s="48" customFormat="1" ht="18.75" customHeight="1" x14ac:dyDescent="0.4">
      <c r="A6" s="49" t="s">
        <v>16</v>
      </c>
      <c r="B6" s="50"/>
      <c r="C6" s="50"/>
      <c r="D6" s="50"/>
      <c r="E6" s="50"/>
      <c r="F6" s="50"/>
      <c r="G6" s="50"/>
      <c r="H6" s="50"/>
      <c r="I6" s="50"/>
    </row>
    <row r="7" spans="1:9" s="48" customFormat="1" ht="15" customHeight="1" x14ac:dyDescent="0.4">
      <c r="A7" s="49" t="s">
        <v>60</v>
      </c>
      <c r="B7" s="50"/>
      <c r="C7" s="50"/>
      <c r="D7" s="50"/>
      <c r="E7" s="50"/>
      <c r="F7" s="50"/>
      <c r="G7" s="50"/>
      <c r="H7" s="50"/>
      <c r="I7" s="50"/>
    </row>
    <row r="8" spans="1:9" s="48" customFormat="1" ht="14" x14ac:dyDescent="0.4"/>
    <row r="9" spans="1:9" x14ac:dyDescent="0.45">
      <c r="A9" s="51" t="s">
        <v>50</v>
      </c>
      <c r="B9" s="52" t="s">
        <v>2</v>
      </c>
      <c r="C9" s="52" t="s">
        <v>3</v>
      </c>
      <c r="D9" s="52" t="s">
        <v>4</v>
      </c>
      <c r="E9" s="53" t="s">
        <v>5</v>
      </c>
      <c r="F9" s="52" t="s">
        <v>6</v>
      </c>
      <c r="G9" s="52" t="s">
        <v>7</v>
      </c>
      <c r="H9" s="52" t="s">
        <v>8</v>
      </c>
      <c r="I9" s="52" t="s">
        <v>9</v>
      </c>
    </row>
    <row r="10" spans="1:9" ht="14" hidden="1" customHeight="1" x14ac:dyDescent="0.45">
      <c r="A10" s="55" t="s">
        <v>17</v>
      </c>
      <c r="B10" s="55"/>
      <c r="C10" s="55"/>
      <c r="D10" s="55"/>
      <c r="E10" s="55"/>
      <c r="F10" s="55"/>
      <c r="G10" s="55"/>
      <c r="H10" s="55"/>
      <c r="I10" s="55"/>
    </row>
    <row r="11" spans="1:9" ht="14" hidden="1" customHeight="1" x14ac:dyDescent="0.45">
      <c r="A11" s="1" t="s">
        <v>18</v>
      </c>
      <c r="B11" s="122" t="s">
        <v>61</v>
      </c>
      <c r="C11" s="56">
        <v>-4.8249359521776336</v>
      </c>
      <c r="D11" s="56">
        <v>4.7619047619047228</v>
      </c>
      <c r="E11" s="122" t="s">
        <v>61</v>
      </c>
      <c r="F11" s="56">
        <v>1.468710089399794</v>
      </c>
      <c r="G11" s="56">
        <v>-8.77967973495306</v>
      </c>
      <c r="H11" s="56">
        <v>-8.8375796178344128</v>
      </c>
      <c r="I11" s="56">
        <v>4.3738765727980855</v>
      </c>
    </row>
    <row r="12" spans="1:9" ht="14" hidden="1" customHeight="1" x14ac:dyDescent="0.45">
      <c r="A12" s="92" t="s">
        <v>19</v>
      </c>
      <c r="B12" s="57">
        <v>6.032828821146885</v>
      </c>
      <c r="C12" s="57">
        <v>-30.35541418890886</v>
      </c>
      <c r="D12" s="57">
        <v>-13.622885051456457</v>
      </c>
      <c r="E12" s="124" t="s">
        <v>61</v>
      </c>
      <c r="F12" s="57">
        <v>-18.23959326342549</v>
      </c>
      <c r="G12" s="57">
        <v>-16.649584329803002</v>
      </c>
      <c r="H12" s="57">
        <v>-52.226926333615587</v>
      </c>
      <c r="I12" s="120" t="s">
        <v>61</v>
      </c>
    </row>
    <row r="13" spans="1:9" ht="14" hidden="1" customHeight="1" x14ac:dyDescent="0.45">
      <c r="A13" s="1" t="s">
        <v>20</v>
      </c>
      <c r="B13" s="56">
        <v>-54.918198343768921</v>
      </c>
      <c r="C13" s="56">
        <v>-61.109867979413757</v>
      </c>
      <c r="D13" s="56">
        <v>-58.95504252733901</v>
      </c>
      <c r="E13" s="56">
        <v>-53.730420445177238</v>
      </c>
      <c r="F13" s="56">
        <v>-52.553542009884694</v>
      </c>
      <c r="G13" s="56">
        <v>-58.378030465565331</v>
      </c>
      <c r="H13" s="56">
        <v>-61.258212223770656</v>
      </c>
      <c r="I13" s="56">
        <v>-57.454772301933879</v>
      </c>
    </row>
    <row r="14" spans="1:9" ht="14" hidden="1" customHeight="1" x14ac:dyDescent="0.45">
      <c r="A14" s="92" t="s">
        <v>21</v>
      </c>
      <c r="B14" s="58">
        <v>-13.495180292752595</v>
      </c>
      <c r="C14" s="57">
        <v>-23.255095738109965</v>
      </c>
      <c r="D14" s="57">
        <v>-27.733220768256661</v>
      </c>
      <c r="E14" s="125">
        <v>-4.7846889952153031</v>
      </c>
      <c r="F14" s="61">
        <v>-20.363486162742706</v>
      </c>
      <c r="G14" s="57">
        <v>-16.115311909262786</v>
      </c>
      <c r="H14" s="57">
        <v>-20.347826086956498</v>
      </c>
      <c r="I14" s="57">
        <v>-11.006546644844494</v>
      </c>
    </row>
    <row r="15" spans="1:9" ht="14" hidden="1" customHeight="1" x14ac:dyDescent="0.45">
      <c r="A15" s="1" t="s">
        <v>22</v>
      </c>
      <c r="B15" s="122" t="s">
        <v>61</v>
      </c>
      <c r="C15" s="56">
        <v>-36.601548101732384</v>
      </c>
      <c r="D15" s="56">
        <v>-30.314097881665468</v>
      </c>
      <c r="E15" s="56">
        <v>-3.5877862595420029</v>
      </c>
      <c r="F15" s="56">
        <v>-15.009208103130733</v>
      </c>
      <c r="G15" s="56">
        <v>-15.690104166666641</v>
      </c>
      <c r="H15" s="56">
        <v>2.0013342228152098</v>
      </c>
      <c r="I15" s="126" t="s">
        <v>61</v>
      </c>
    </row>
    <row r="16" spans="1:9" ht="14" hidden="1" customHeight="1" x14ac:dyDescent="0.45">
      <c r="A16" s="92" t="s">
        <v>23</v>
      </c>
      <c r="B16" s="57">
        <v>-11.605802901450712</v>
      </c>
      <c r="C16" s="57">
        <v>-17.403424930306642</v>
      </c>
      <c r="D16" s="57">
        <v>-21.89710610932476</v>
      </c>
      <c r="E16" s="57">
        <v>-20.62606163552535</v>
      </c>
      <c r="F16" s="57">
        <v>1.4718250630782359</v>
      </c>
      <c r="G16" s="57">
        <v>-4.6275108060005117</v>
      </c>
      <c r="H16" s="57">
        <v>-40.725244072524411</v>
      </c>
      <c r="I16" s="57">
        <v>-40.645634629493777</v>
      </c>
    </row>
    <row r="17" spans="1:9" ht="14" hidden="1" customHeight="1" x14ac:dyDescent="0.45">
      <c r="A17" s="1" t="s">
        <v>24</v>
      </c>
      <c r="B17" s="56">
        <v>26.79628064243451</v>
      </c>
      <c r="C17" s="56">
        <v>-13.980716253443504</v>
      </c>
      <c r="D17" s="56">
        <v>12.749888938249686</v>
      </c>
      <c r="E17" s="56">
        <v>19.640618470539039</v>
      </c>
      <c r="F17" s="56">
        <v>-5.2369077306733347</v>
      </c>
      <c r="G17" s="56">
        <v>-1.9590770570309335</v>
      </c>
      <c r="H17" s="56">
        <v>-15.253122945430642</v>
      </c>
      <c r="I17" s="56">
        <v>20.622568093385208</v>
      </c>
    </row>
    <row r="18" spans="1:9" ht="14" hidden="1" customHeight="1" x14ac:dyDescent="0.45">
      <c r="A18" s="92" t="s">
        <v>25</v>
      </c>
      <c r="B18" s="57">
        <v>-60.066006600660081</v>
      </c>
      <c r="C18" s="57">
        <v>-48.24723247232474</v>
      </c>
      <c r="D18" s="57">
        <v>-43.939393939393931</v>
      </c>
      <c r="E18" s="57">
        <v>-53.960580141316463</v>
      </c>
      <c r="F18" s="57">
        <v>-56.062474311549515</v>
      </c>
      <c r="G18" s="57">
        <v>-34.301270417422856</v>
      </c>
      <c r="H18" s="57">
        <v>-52.30142566191445</v>
      </c>
      <c r="I18" s="57">
        <v>-56.310344827586214</v>
      </c>
    </row>
    <row r="19" spans="1:9" ht="14" hidden="1" customHeight="1" x14ac:dyDescent="0.45">
      <c r="A19" s="1" t="s">
        <v>26</v>
      </c>
      <c r="B19" s="56">
        <v>-11.769352290679358</v>
      </c>
      <c r="C19" s="56">
        <v>-28.284607256076121</v>
      </c>
      <c r="D19" s="56">
        <v>-21.627543035993767</v>
      </c>
      <c r="E19" s="56">
        <v>-33.850514694912746</v>
      </c>
      <c r="F19" s="56">
        <v>-26.285135477336041</v>
      </c>
      <c r="G19" s="56">
        <v>-3.5847941697852992</v>
      </c>
      <c r="H19" s="56">
        <v>-36.402352464003251</v>
      </c>
      <c r="I19" s="56">
        <v>-35.483870967741915</v>
      </c>
    </row>
    <row r="20" spans="1:9" ht="14" hidden="1" customHeight="1" x14ac:dyDescent="0.45">
      <c r="A20" s="92" t="s">
        <v>27</v>
      </c>
      <c r="B20" s="57">
        <v>-44.288224956063274</v>
      </c>
      <c r="C20" s="57">
        <v>-46.364883401920444</v>
      </c>
      <c r="D20" s="57">
        <v>-37.770734284204963</v>
      </c>
      <c r="E20" s="57">
        <v>-38.105726872246692</v>
      </c>
      <c r="F20" s="57">
        <v>-33.264291632145813</v>
      </c>
      <c r="G20" s="57">
        <v>-34.581320450885677</v>
      </c>
      <c r="H20" s="57">
        <v>-53.69960124058484</v>
      </c>
      <c r="I20" s="127">
        <v>-43.071553228621298</v>
      </c>
    </row>
    <row r="21" spans="1:9" ht="14" hidden="1" customHeight="1" x14ac:dyDescent="0.45">
      <c r="A21" s="1" t="s">
        <v>28</v>
      </c>
      <c r="B21" s="56">
        <v>4.7523041474654582</v>
      </c>
      <c r="C21" s="56">
        <v>15.546080682190876</v>
      </c>
      <c r="D21" s="56">
        <v>8.5406859448554187</v>
      </c>
      <c r="E21" s="59">
        <v>10.419767788032154</v>
      </c>
      <c r="F21" s="59">
        <v>9.3267269017778922</v>
      </c>
      <c r="G21" s="59">
        <v>26.374781085814348</v>
      </c>
      <c r="H21" s="56">
        <v>5.4102108204216348</v>
      </c>
      <c r="I21" s="56">
        <v>13.247990473355188</v>
      </c>
    </row>
    <row r="22" spans="1:9" ht="14" hidden="1" customHeight="1" x14ac:dyDescent="0.45">
      <c r="A22" s="93" t="s">
        <v>29</v>
      </c>
      <c r="B22" s="63">
        <v>-25.53359683794465</v>
      </c>
      <c r="C22" s="60">
        <v>-14.317673378076057</v>
      </c>
      <c r="D22" s="60">
        <v>-29.528535980148874</v>
      </c>
      <c r="E22" s="60">
        <v>-9.382151029748286</v>
      </c>
      <c r="F22" s="60">
        <v>-4.2149143121815724</v>
      </c>
      <c r="G22" s="60">
        <v>-21.823472356935014</v>
      </c>
      <c r="H22" s="60">
        <v>-13.147410358565736</v>
      </c>
      <c r="I22" s="76">
        <v>-15.048118985126857</v>
      </c>
    </row>
    <row r="23" spans="1:9" ht="14" hidden="1" customHeight="1" x14ac:dyDescent="0.45">
      <c r="A23" s="55" t="s">
        <v>30</v>
      </c>
      <c r="B23" s="143"/>
      <c r="C23" s="143"/>
      <c r="D23" s="143"/>
      <c r="E23" s="143"/>
      <c r="F23" s="143"/>
      <c r="G23" s="143"/>
      <c r="H23" s="143"/>
      <c r="I23" s="143"/>
    </row>
    <row r="24" spans="1:9" ht="14" hidden="1" customHeight="1" x14ac:dyDescent="0.45">
      <c r="A24" s="1" t="s">
        <v>48</v>
      </c>
      <c r="B24" s="122" t="s">
        <v>61</v>
      </c>
      <c r="C24" s="56">
        <v>34.176888315042021</v>
      </c>
      <c r="D24" s="122" t="s">
        <v>61</v>
      </c>
      <c r="E24" s="122" t="s">
        <v>61</v>
      </c>
      <c r="F24" s="59">
        <v>31.954627196016048</v>
      </c>
      <c r="G24" s="126" t="s">
        <v>61</v>
      </c>
      <c r="H24" s="56">
        <v>20.13215239701951</v>
      </c>
      <c r="I24" s="122" t="s">
        <v>61</v>
      </c>
    </row>
    <row r="25" spans="1:9" ht="14" hidden="1" customHeight="1" x14ac:dyDescent="0.45">
      <c r="A25" s="92" t="s">
        <v>31</v>
      </c>
      <c r="B25" s="57">
        <v>-33.8541666666667</v>
      </c>
      <c r="C25" s="57">
        <v>2.6952946550936385</v>
      </c>
      <c r="D25" s="57">
        <v>10.309278350515472</v>
      </c>
      <c r="E25" s="124" t="s">
        <v>61</v>
      </c>
      <c r="F25" s="57">
        <v>1.4202711426726911</v>
      </c>
      <c r="G25" s="57">
        <v>-5.022831050228282</v>
      </c>
      <c r="H25" s="57">
        <v>11.83723797780516</v>
      </c>
      <c r="I25" s="57">
        <v>0.69252077562329539</v>
      </c>
    </row>
    <row r="26" spans="1:9" ht="14" hidden="1" customHeight="1" x14ac:dyDescent="0.45">
      <c r="A26" s="1" t="s">
        <v>32</v>
      </c>
      <c r="B26" s="59">
        <v>35.278514588859466</v>
      </c>
      <c r="C26" s="56">
        <v>72.448714619579377</v>
      </c>
      <c r="D26" s="122" t="s">
        <v>61</v>
      </c>
      <c r="E26" s="56">
        <v>15.028089887640416</v>
      </c>
      <c r="F26" s="56">
        <v>53.388017118402246</v>
      </c>
      <c r="G26" s="122" t="s">
        <v>61</v>
      </c>
      <c r="H26" s="56">
        <v>27.536231884057962</v>
      </c>
      <c r="I26" s="59">
        <v>58.382274426054458</v>
      </c>
    </row>
    <row r="27" spans="1:9" ht="14" hidden="1" customHeight="1" x14ac:dyDescent="0.45">
      <c r="A27" s="92" t="s">
        <v>33</v>
      </c>
      <c r="B27" s="124" t="s">
        <v>61</v>
      </c>
      <c r="C27" s="57">
        <v>7.9999999999999849</v>
      </c>
      <c r="D27" s="57">
        <v>9.4883187616454414</v>
      </c>
      <c r="E27" s="120" t="s">
        <v>61</v>
      </c>
      <c r="F27" s="61">
        <v>24.870565675934841</v>
      </c>
      <c r="G27" s="120" t="s">
        <v>61</v>
      </c>
      <c r="H27" s="57">
        <v>17.282153902128417</v>
      </c>
      <c r="I27" s="57">
        <v>25.938281901584691</v>
      </c>
    </row>
    <row r="28" spans="1:9" ht="14" hidden="1" customHeight="1" x14ac:dyDescent="0.45">
      <c r="A28" s="1" t="s">
        <v>34</v>
      </c>
      <c r="B28" s="56">
        <v>32.698730794923158</v>
      </c>
      <c r="C28" s="56">
        <v>8.477508650519038</v>
      </c>
      <c r="D28" s="56">
        <v>28.168234643054713</v>
      </c>
      <c r="E28" s="56">
        <v>11.82795698924728</v>
      </c>
      <c r="F28" s="59">
        <v>26.722338204592887</v>
      </c>
      <c r="G28" s="56">
        <v>40.365984930032297</v>
      </c>
      <c r="H28" s="56">
        <v>-1.992204417496779</v>
      </c>
      <c r="I28" s="56">
        <v>12.092793682132275</v>
      </c>
    </row>
    <row r="29" spans="1:9" ht="14" hidden="1" customHeight="1" x14ac:dyDescent="0.45">
      <c r="A29" s="92" t="s">
        <v>54</v>
      </c>
      <c r="B29" s="61">
        <v>-12.941677309493382</v>
      </c>
      <c r="C29" s="61">
        <v>-4.2532146389713255</v>
      </c>
      <c r="D29" s="57">
        <v>-18.944252590034548</v>
      </c>
      <c r="E29" s="57">
        <v>-15.950473415877642</v>
      </c>
      <c r="F29" s="61">
        <v>-2.1386430678466017</v>
      </c>
      <c r="G29" s="61">
        <v>-23.305844388669783</v>
      </c>
      <c r="H29" s="57">
        <v>-7.3622881355932428</v>
      </c>
      <c r="I29" s="57">
        <v>-6.6364152013613005</v>
      </c>
    </row>
    <row r="30" spans="1:9" ht="14" hidden="1" customHeight="1" x14ac:dyDescent="0.45">
      <c r="A30" s="1" t="s">
        <v>35</v>
      </c>
      <c r="B30" s="56">
        <v>-10.811858167021937</v>
      </c>
      <c r="C30" s="56">
        <v>-13.721264367816088</v>
      </c>
      <c r="D30" s="56">
        <v>-20.535085660643038</v>
      </c>
      <c r="E30" s="56">
        <v>-10.792908630430563</v>
      </c>
      <c r="F30" s="56">
        <v>-4.182933630786378</v>
      </c>
      <c r="G30" s="56">
        <v>0.91519219035998134</v>
      </c>
      <c r="H30" s="56">
        <v>-21.260881034027957</v>
      </c>
      <c r="I30" s="56">
        <v>-13.053735255570132</v>
      </c>
    </row>
    <row r="31" spans="1:9" ht="14" hidden="1" customHeight="1" x14ac:dyDescent="0.45">
      <c r="A31" s="92" t="s">
        <v>36</v>
      </c>
      <c r="B31" s="57">
        <v>7.6061595893607281</v>
      </c>
      <c r="C31" s="57">
        <v>27.103825136612024</v>
      </c>
      <c r="D31" s="57">
        <v>3.383685800604197</v>
      </c>
      <c r="E31" s="120" t="s">
        <v>61</v>
      </c>
      <c r="F31" s="61">
        <v>28.28947368421051</v>
      </c>
      <c r="G31" s="57">
        <v>16.95317131001779</v>
      </c>
      <c r="H31" s="57">
        <v>58.372530573847612</v>
      </c>
      <c r="I31" s="57">
        <v>14.060913705583777</v>
      </c>
    </row>
    <row r="32" spans="1:9" ht="14" hidden="1" customHeight="1" x14ac:dyDescent="0.45">
      <c r="A32" s="1" t="s">
        <v>37</v>
      </c>
      <c r="B32" s="62">
        <v>28.549848942598221</v>
      </c>
      <c r="C32" s="62">
        <v>2.2574447646493523</v>
      </c>
      <c r="D32" s="56">
        <v>37.606352807714096</v>
      </c>
      <c r="E32" s="126" t="s">
        <v>61</v>
      </c>
      <c r="F32" s="56">
        <v>18.250377073906488</v>
      </c>
      <c r="G32" s="122" t="s">
        <v>61</v>
      </c>
      <c r="H32" s="56">
        <v>21.096774193548384</v>
      </c>
      <c r="I32" s="62">
        <v>18.139534883720888</v>
      </c>
    </row>
    <row r="33" spans="1:9" ht="14" hidden="1" customHeight="1" x14ac:dyDescent="0.45">
      <c r="A33" s="92" t="s">
        <v>51</v>
      </c>
      <c r="B33" s="120" t="s">
        <v>61</v>
      </c>
      <c r="C33" s="57">
        <v>7.0971184631803741</v>
      </c>
      <c r="D33" s="57">
        <v>11.785842615882114</v>
      </c>
      <c r="E33" s="57">
        <v>17.939894471209005</v>
      </c>
      <c r="F33" s="57">
        <v>19.602888086642658</v>
      </c>
      <c r="G33" s="57">
        <v>21.32141717203957</v>
      </c>
      <c r="H33" s="57">
        <v>8.4148282920172512</v>
      </c>
      <c r="I33" s="57">
        <v>22.836913476539156</v>
      </c>
    </row>
    <row r="34" spans="1:9" ht="14" hidden="1" customHeight="1" x14ac:dyDescent="0.45">
      <c r="A34" s="1" t="s">
        <v>38</v>
      </c>
      <c r="B34" s="59">
        <v>-25.482174167153705</v>
      </c>
      <c r="C34" s="56">
        <v>-15.86333129957287</v>
      </c>
      <c r="D34" s="56">
        <v>-22.754671488848675</v>
      </c>
      <c r="E34" s="122" t="s">
        <v>61</v>
      </c>
      <c r="F34" s="56">
        <v>-10.068513553768222</v>
      </c>
      <c r="G34" s="56">
        <v>4.5619995146809256</v>
      </c>
      <c r="H34" s="56">
        <v>-38.159937888198769</v>
      </c>
      <c r="I34" s="56">
        <v>-12.469101895083789</v>
      </c>
    </row>
    <row r="35" spans="1:9" ht="14" hidden="1" customHeight="1" x14ac:dyDescent="0.45">
      <c r="A35" s="92" t="s">
        <v>39</v>
      </c>
      <c r="B35" s="57">
        <v>36.016655100624547</v>
      </c>
      <c r="C35" s="57">
        <v>64.539202200825343</v>
      </c>
      <c r="D35" s="57">
        <v>58.414725770097675</v>
      </c>
      <c r="E35" s="57">
        <v>39.451067369004718</v>
      </c>
      <c r="F35" s="57">
        <v>78.812415654520905</v>
      </c>
      <c r="G35" s="57">
        <v>37.879858657243815</v>
      </c>
      <c r="H35" s="57">
        <v>47.276119402985103</v>
      </c>
      <c r="I35" s="57">
        <v>29.285533956071763</v>
      </c>
    </row>
    <row r="36" spans="1:9" ht="14" hidden="1" customHeight="1" x14ac:dyDescent="0.45">
      <c r="A36" s="1" t="s">
        <v>56</v>
      </c>
      <c r="B36" s="122" t="s">
        <v>61</v>
      </c>
      <c r="C36" s="56">
        <v>-11.737891737891704</v>
      </c>
      <c r="D36" s="56">
        <v>-12.313803376365417</v>
      </c>
      <c r="E36" s="122" t="s">
        <v>61</v>
      </c>
      <c r="F36" s="128">
        <v>-14.586357039187249</v>
      </c>
      <c r="G36" s="59">
        <v>5.9447983014861983</v>
      </c>
      <c r="H36" s="56">
        <v>-9.4818081587651477</v>
      </c>
      <c r="I36" s="56">
        <v>1.7057569296375252</v>
      </c>
    </row>
    <row r="37" spans="1:9" ht="14" hidden="1" customHeight="1" x14ac:dyDescent="0.45">
      <c r="A37" s="92" t="s">
        <v>55</v>
      </c>
      <c r="B37" s="124" t="s">
        <v>61</v>
      </c>
      <c r="C37" s="61">
        <v>-43.180648481729278</v>
      </c>
      <c r="D37" s="57">
        <v>-38.427299703264083</v>
      </c>
      <c r="E37" s="61">
        <v>-41.380807642205809</v>
      </c>
      <c r="F37" s="57">
        <v>-31.731240804315863</v>
      </c>
      <c r="G37" s="57">
        <v>-11.282545805207334</v>
      </c>
      <c r="H37" s="57">
        <v>-4.7108387590961147</v>
      </c>
      <c r="I37" s="57">
        <v>-28.270676691729314</v>
      </c>
    </row>
    <row r="38" spans="1:9" ht="14" hidden="1" customHeight="1" x14ac:dyDescent="0.45">
      <c r="A38" s="1" t="s">
        <v>40</v>
      </c>
      <c r="B38" s="56">
        <v>68.603678929765891</v>
      </c>
      <c r="C38" s="56">
        <v>90.067443286327517</v>
      </c>
      <c r="D38" s="56">
        <v>115.98302687411599</v>
      </c>
      <c r="E38" s="59">
        <v>59.837119588512586</v>
      </c>
      <c r="F38" s="59">
        <v>73.03543913713402</v>
      </c>
      <c r="G38" s="56">
        <v>65.021008403361449</v>
      </c>
      <c r="H38" s="59">
        <v>64.821648216482203</v>
      </c>
      <c r="I38" s="59">
        <v>67.435897435897346</v>
      </c>
    </row>
    <row r="39" spans="1:9" ht="14" hidden="1" customHeight="1" x14ac:dyDescent="0.45">
      <c r="A39" s="93" t="s">
        <v>41</v>
      </c>
      <c r="B39" s="60">
        <v>-19.06443071491616</v>
      </c>
      <c r="C39" s="60">
        <v>-37.695704536330801</v>
      </c>
      <c r="D39" s="60">
        <v>-37.243532560214106</v>
      </c>
      <c r="E39" s="60">
        <v>-37.528957528957548</v>
      </c>
      <c r="F39" s="60">
        <v>-41.75209692451071</v>
      </c>
      <c r="G39" s="63">
        <v>21.396054628224626</v>
      </c>
      <c r="H39" s="60">
        <v>-36.8236472945892</v>
      </c>
      <c r="I39" s="60">
        <v>-7.1292775665398818</v>
      </c>
    </row>
    <row r="40" spans="1:9" ht="14" hidden="1" customHeight="1" x14ac:dyDescent="0.45">
      <c r="A40" s="55" t="s">
        <v>42</v>
      </c>
      <c r="B40" s="143"/>
      <c r="C40" s="143"/>
      <c r="D40" s="143"/>
      <c r="E40" s="143"/>
      <c r="F40" s="143"/>
      <c r="G40" s="143"/>
      <c r="H40" s="143"/>
      <c r="I40" s="143"/>
    </row>
    <row r="41" spans="1:9" ht="14" customHeight="1" x14ac:dyDescent="0.45">
      <c r="A41" s="1" t="s">
        <v>43</v>
      </c>
      <c r="B41" s="126" t="s">
        <v>61</v>
      </c>
      <c r="C41" s="56">
        <v>-34.124347413383973</v>
      </c>
      <c r="D41" s="56">
        <v>1.1514614703277193</v>
      </c>
      <c r="E41" s="126" t="s">
        <v>61</v>
      </c>
      <c r="F41" s="56">
        <v>-24.968851233491172</v>
      </c>
      <c r="G41" s="56">
        <v>-7.5943282864695982</v>
      </c>
      <c r="H41" s="56">
        <v>-60.885533564578644</v>
      </c>
      <c r="I41" s="59">
        <v>-26.757948479925719</v>
      </c>
    </row>
    <row r="42" spans="1:9" ht="14" customHeight="1" x14ac:dyDescent="0.45">
      <c r="A42" s="92" t="s">
        <v>44</v>
      </c>
      <c r="B42" s="57">
        <v>-27.105014191106925</v>
      </c>
      <c r="C42" s="57">
        <v>-19.941956882255429</v>
      </c>
      <c r="D42" s="57">
        <v>-26.728892660161208</v>
      </c>
      <c r="E42" s="57">
        <v>-27.926777352064715</v>
      </c>
      <c r="F42" s="57">
        <v>-22.869955156950706</v>
      </c>
      <c r="G42" s="61">
        <v>-31.119625372498938</v>
      </c>
      <c r="H42" s="57">
        <v>-31.234413965087271</v>
      </c>
      <c r="I42" s="57">
        <v>-30.260047281323864</v>
      </c>
    </row>
    <row r="43" spans="1:9" ht="14" customHeight="1" x14ac:dyDescent="0.45">
      <c r="A43" s="1" t="s">
        <v>52</v>
      </c>
      <c r="B43" s="59">
        <v>24.581724581724586</v>
      </c>
      <c r="C43" s="56">
        <v>12.247719104230015</v>
      </c>
      <c r="D43" s="56">
        <v>10.829587249693496</v>
      </c>
      <c r="E43" s="56">
        <v>17.382702091577151</v>
      </c>
      <c r="F43" s="56">
        <v>2.0677966101694922</v>
      </c>
      <c r="G43" s="56">
        <v>-1.0801393728222863</v>
      </c>
      <c r="H43" s="56">
        <v>-26.458129683936129</v>
      </c>
      <c r="I43" s="56">
        <v>17.930125247198415</v>
      </c>
    </row>
    <row r="44" spans="1:9" ht="14" customHeight="1" x14ac:dyDescent="0.45">
      <c r="A44" s="92" t="s">
        <v>45</v>
      </c>
      <c r="B44" s="57">
        <v>-28.67448151487827</v>
      </c>
      <c r="C44" s="57">
        <v>-47.25400457665905</v>
      </c>
      <c r="D44" s="57">
        <v>-37.648778450615993</v>
      </c>
      <c r="E44" s="57">
        <v>-56.719675709385712</v>
      </c>
      <c r="F44" s="57">
        <v>-17.233644859813079</v>
      </c>
      <c r="G44" s="57">
        <v>-35.216652506372107</v>
      </c>
      <c r="H44" s="57">
        <v>-27.790582811985519</v>
      </c>
      <c r="I44" s="57">
        <v>-18.583396801218576</v>
      </c>
    </row>
    <row r="45" spans="1:9" ht="14" customHeight="1" x14ac:dyDescent="0.45">
      <c r="A45" s="94" t="s">
        <v>46</v>
      </c>
      <c r="B45" s="64">
        <v>-19.88023952095811</v>
      </c>
      <c r="C45" s="64">
        <v>-43.944300518134696</v>
      </c>
      <c r="D45" s="64">
        <v>-38.383838383838395</v>
      </c>
      <c r="E45" s="64">
        <v>-25.233644859813108</v>
      </c>
      <c r="F45" s="64">
        <v>-58.362738179251927</v>
      </c>
      <c r="G45" s="64">
        <v>-39.081111741349986</v>
      </c>
      <c r="H45" s="64">
        <v>-42.28000000000003</v>
      </c>
      <c r="I45" s="64">
        <v>-64.82227922315866</v>
      </c>
    </row>
    <row r="46" spans="1:9" x14ac:dyDescent="0.45">
      <c r="A46" s="48"/>
      <c r="B46" s="56"/>
      <c r="C46" s="56"/>
      <c r="D46" s="56"/>
      <c r="E46" s="56"/>
      <c r="F46" s="56"/>
      <c r="G46" s="56"/>
      <c r="H46" s="56"/>
      <c r="I46" s="56"/>
    </row>
    <row r="47" spans="1:9" x14ac:dyDescent="0.45">
      <c r="A47" s="65" t="s">
        <v>12</v>
      </c>
      <c r="B47" s="66"/>
      <c r="C47" s="67"/>
      <c r="D47" s="67"/>
      <c r="E47" s="66"/>
      <c r="F47" s="67"/>
      <c r="G47" s="67"/>
      <c r="H47" s="67"/>
      <c r="I47" s="67"/>
    </row>
    <row r="48" spans="1:9" x14ac:dyDescent="0.45">
      <c r="A48" s="68" t="s">
        <v>53</v>
      </c>
      <c r="B48" s="68"/>
      <c r="C48" s="68"/>
      <c r="D48" s="68"/>
      <c r="E48" s="68"/>
      <c r="F48" s="68"/>
      <c r="G48" s="68"/>
      <c r="H48" s="68"/>
      <c r="I48" s="68"/>
    </row>
    <row r="49" spans="1:9" x14ac:dyDescent="0.45">
      <c r="A49" s="69" t="s">
        <v>14</v>
      </c>
      <c r="B49" s="66"/>
      <c r="C49" s="67"/>
      <c r="D49" s="67"/>
      <c r="E49" s="66"/>
      <c r="F49" s="67"/>
      <c r="G49" s="67"/>
      <c r="H49" s="67"/>
      <c r="I49" s="67"/>
    </row>
    <row r="50" spans="1:9" x14ac:dyDescent="0.45">
      <c r="A50" s="70" t="s">
        <v>15</v>
      </c>
      <c r="B50" s="71"/>
      <c r="C50" s="71"/>
      <c r="D50" s="71"/>
      <c r="E50" s="71"/>
      <c r="F50" s="71"/>
      <c r="G50" s="71"/>
      <c r="H50" s="71"/>
      <c r="I50" s="71"/>
    </row>
    <row r="51" spans="1:9" x14ac:dyDescent="0.45">
      <c r="A51" s="70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2" t="str">
        <f>+Índice!A13</f>
        <v>Fecha de actualización: 10 de enero de 2024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0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0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0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Índice</vt:lpstr>
      <vt:lpstr>Anexo 1</vt:lpstr>
      <vt:lpstr>Anexo 2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LMChaparroC</dc:creator>
  <cp:lastModifiedBy>Elsa Beatriz Hernandez Gomez</cp:lastModifiedBy>
  <cp:lastPrinted>2018-10-02T21:35:14Z</cp:lastPrinted>
  <dcterms:created xsi:type="dcterms:W3CDTF">2007-01-25T17:17:56Z</dcterms:created>
  <dcterms:modified xsi:type="dcterms:W3CDTF">2024-01-02T17:23:00Z</dcterms:modified>
</cp:coreProperties>
</file>